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rthur Resilio\Downloads\"/>
    </mc:Choice>
  </mc:AlternateContent>
  <xr:revisionPtr revIDLastSave="0" documentId="13_ncr:1_{FE85918B-4B62-435A-846F-A0169AE56E9A}" xr6:coauthVersionLast="47" xr6:coauthVersionMax="47" xr10:uidLastSave="{00000000-0000-0000-0000-000000000000}"/>
  <bookViews>
    <workbookView xWindow="-108" yWindow="-108" windowWidth="30936" windowHeight="16776" tabRatio="787" xr2:uid="{3CD8340D-FB62-4FCC-B76B-1F46182B035F}"/>
  </bookViews>
  <sheets>
    <sheet name="README" sheetId="1" r:id="rId1"/>
    <sheet name="materials_intel_xeon_model"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a="1"/>
  <c r="K2" i="3" s="1"/>
  <c r="L2" i="3" s="1"/>
  <c r="L17" i="3" l="1"/>
  <c r="L33" i="3"/>
  <c r="L32" i="3"/>
  <c r="L16" i="3"/>
  <c r="L31" i="3"/>
  <c r="L15" i="3"/>
  <c r="L30" i="3"/>
  <c r="L14" i="3"/>
  <c r="L45" i="3"/>
  <c r="L29" i="3"/>
  <c r="L13" i="3"/>
  <c r="L44" i="3"/>
  <c r="L28" i="3"/>
  <c r="L12" i="3"/>
  <c r="L43" i="3"/>
  <c r="L27" i="3"/>
  <c r="L11" i="3"/>
  <c r="L42" i="3"/>
  <c r="L26" i="3"/>
  <c r="L10" i="3"/>
  <c r="L41" i="3"/>
  <c r="L25" i="3"/>
  <c r="L9" i="3"/>
  <c r="L40" i="3"/>
  <c r="L24" i="3"/>
  <c r="L8" i="3"/>
  <c r="L39" i="3"/>
  <c r="L23" i="3"/>
  <c r="L7" i="3"/>
  <c r="L38" i="3"/>
  <c r="L22" i="3"/>
  <c r="L6" i="3"/>
  <c r="L37" i="3"/>
  <c r="L21" i="3"/>
  <c r="L5" i="3"/>
  <c r="L36" i="3"/>
  <c r="L20" i="3"/>
  <c r="L4" i="3"/>
  <c r="L34" i="3"/>
  <c r="L35" i="3"/>
  <c r="L19" i="3"/>
  <c r="L3" i="3"/>
  <c r="L18" i="3"/>
  <c r="L46"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<sst xmlns="http://schemas.openxmlformats.org/spreadsheetml/2006/main" count="693" uniqueCount="295">
  <si>
    <t xml:space="preserve">  </t>
  </si>
  <si>
    <t>High Level</t>
  </si>
  <si>
    <t>Material</t>
  </si>
  <si>
    <t>Substance</t>
  </si>
  <si>
    <t>Weight [mg]</t>
  </si>
  <si>
    <t>Module name</t>
  </si>
  <si>
    <t>Link (EcoInvent)</t>
  </si>
  <si>
    <t>Notes</t>
  </si>
  <si>
    <t>carrier</t>
  </si>
  <si>
    <t>leadfinish</t>
  </si>
  <si>
    <t>gold</t>
  </si>
  <si>
    <t>gold production</t>
  </si>
  <si>
    <t>https://ecoquery.ecoinvent.org/3.11/cutoff/dataset/8546/documentation</t>
  </si>
  <si>
    <t>nickel</t>
  </si>
  <si>
    <t>smelting and refining of nickel concentrate, 16% Ni</t>
  </si>
  <si>
    <t>https://ecoquery.ecoinvent.org/3.11/cutoff/dataset/13353/documentation</t>
  </si>
  <si>
    <t>substrate</t>
  </si>
  <si>
    <t>alumina</t>
  </si>
  <si>
    <t>aluminium oxide production</t>
  </si>
  <si>
    <t>https://ecoquery.ecoinvent.org/3.11/cutoff/dataset/17909/documentation</t>
  </si>
  <si>
    <t>aluminium hydroxide</t>
  </si>
  <si>
    <t>aluminium hydroxide production</t>
  </si>
  <si>
    <t>https://ecoquery.ecoinvent.org/3.11/cutoff/dataset/19024/documentation</t>
  </si>
  <si>
    <t>aluminum oxide</t>
  </si>
  <si>
    <t>amorphous silica</t>
  </si>
  <si>
    <t>silica sand production</t>
  </si>
  <si>
    <t>https://ecoquery.ecoinvent.org/3.11/cutoff/dataset/9092/documentation</t>
  </si>
  <si>
    <t>barium sulfate</t>
  </si>
  <si>
    <t>barium sulfide production</t>
  </si>
  <si>
    <t>https://ecoquery.ecoinvent.org/3.11/cutoff/dataset/16137/documentation</t>
  </si>
  <si>
    <t>bismaleimide polymer</t>
  </si>
  <si>
    <t>epoxy resin production, liquid</t>
  </si>
  <si>
    <t>https://ecoquery.ecoinvent.org/3.11/cutoff/dataset/2487/documentation</t>
  </si>
  <si>
    <t>bismethane</t>
  </si>
  <si>
    <t>market for pentane</t>
  </si>
  <si>
    <t>https://ecoquery.ecoinvent.org/3.11/cutoff/dataset/1805/documentation</t>
  </si>
  <si>
    <t>bisphenol f type epoxy resin</t>
  </si>
  <si>
    <t>bisphenol A epoxy based vinyl ester resin production</t>
  </si>
  <si>
    <t>https://ecoquery.ecoinvent.org/3.11/cutoff/dataset/14197/documentation</t>
  </si>
  <si>
    <t>boron</t>
  </si>
  <si>
    <t>boron carbide production</t>
  </si>
  <si>
    <t>https://ecoquery.ecoinvent.org/3.11/cutoff/dataset/8337/documentation</t>
  </si>
  <si>
    <t>calcium oxide</t>
  </si>
  <si>
    <t>hydrated lime production, packed</t>
  </si>
  <si>
    <t>https://ecoquery.ecoinvent.org/3.11/cutoff/dataset/2653/documentation</t>
  </si>
  <si>
    <t>calcium sulfate</t>
  </si>
  <si>
    <t>calciumoxide</t>
  </si>
  <si>
    <t>chromium oxide</t>
  </si>
  <si>
    <t>chromium production</t>
  </si>
  <si>
    <t>https://ecoquery.ecoinvent.org/3.11/cutoff/dataset/2263/documentation</t>
  </si>
  <si>
    <t>chromiumoxide</t>
  </si>
  <si>
    <t>copper</t>
  </si>
  <si>
    <t>copper production, cathode, solvent extraction and electrowinning process</t>
  </si>
  <si>
    <t>https://ecoquery.ecoinvent.org/3.11/cutoff/dataset/21253/documentation</t>
  </si>
  <si>
    <t>copper phthalocyanine bule</t>
  </si>
  <si>
    <t>cu</t>
  </si>
  <si>
    <t>fiber glass</t>
  </si>
  <si>
    <t>glass fibre production</t>
  </si>
  <si>
    <t>https://ecoquery.ecoinvent.org/3.11/cutoff/dataset/7865/documentation</t>
  </si>
  <si>
    <t>glass fiber</t>
  </si>
  <si>
    <t>magnesium oxide</t>
  </si>
  <si>
    <t>magnesiumoxide</t>
  </si>
  <si>
    <t>methoxymethylethoxy propanol</t>
  </si>
  <si>
    <t>market for 1-methoxy-2-propanol</t>
  </si>
  <si>
    <t>https://ecoquery.ecoinvent.org/3.11/cutoff/dataset/25453/documentation</t>
  </si>
  <si>
    <t>molybdenum</t>
  </si>
  <si>
    <t>molybdenum production</t>
  </si>
  <si>
    <t>https://ecoquery.ecoinvent.org/3.11/cutoff/dataset/2040/documentation</t>
  </si>
  <si>
    <t>other aluminium compounds</t>
  </si>
  <si>
    <t>aluminium production, primary, ingot</t>
  </si>
  <si>
    <t>https://ecoquery.ecoinvent.org/3.11/cutoff/dataset/11662/documentation</t>
  </si>
  <si>
    <t>other inoranic filler</t>
  </si>
  <si>
    <t>chemical production, inorganic</t>
  </si>
  <si>
    <t>https://ecoquery.ecoinvent.org/3.11/cutoff/dataset/713/documentation</t>
  </si>
  <si>
    <t>other miscellaneous substances</t>
  </si>
  <si>
    <t>palladium</t>
  </si>
  <si>
    <t>market for palladium</t>
  </si>
  <si>
    <t>https://ecoquery.ecoinvent.org/3.11/cutoff/dataset/3988/documentation</t>
  </si>
  <si>
    <t>phenolic polymer resin, epikote 155</t>
  </si>
  <si>
    <t>phenolic resin production</t>
  </si>
  <si>
    <t>https://ecoquery.ecoinvent.org/3.11/cutoff/dataset/9282/documentation</t>
  </si>
  <si>
    <t>phosphorus</t>
  </si>
  <si>
    <t>phosphorous chloride production</t>
  </si>
  <si>
    <t>https://ecoquery.ecoinvent.org/3.11/cutoff/dataset/123/documentation</t>
  </si>
  <si>
    <t>polymerized biphenyl resin</t>
  </si>
  <si>
    <t>proprietary material-cured resin</t>
  </si>
  <si>
    <t>silicon dioxide</t>
  </si>
  <si>
    <t>silicon production, electronics grade</t>
  </si>
  <si>
    <t>https://ecoquery.ecoinvent.org/3.11/cutoff/dataset/230/documentation</t>
  </si>
  <si>
    <t>talc containing no asbestiform fibers</t>
  </si>
  <si>
    <t>magnesium oxide production</t>
  </si>
  <si>
    <t>https://ecoquery.ecoinvent.org/3.11/cutoff/dataset/4114/documentation</t>
  </si>
  <si>
    <t>talc4)</t>
  </si>
  <si>
    <t>thermosetting resin</t>
  </si>
  <si>
    <t>titandioxide</t>
  </si>
  <si>
    <t>market for titanium dioxide</t>
  </si>
  <si>
    <t>https://ecoquery.ecoinvent.org/3.11/cutoff/dataset/10048/documentation</t>
  </si>
  <si>
    <t>titanium oxide</t>
  </si>
  <si>
    <t>triazine</t>
  </si>
  <si>
    <t>triazine-compound production</t>
  </si>
  <si>
    <t>https://ecoquery.ecoinvent.org/3.11/cutoff/dataset/6811/documentation</t>
  </si>
  <si>
    <t>tungsten</t>
  </si>
  <si>
    <t>tungsten mine operation and beneficiation</t>
  </si>
  <si>
    <t>https://ecoquery.ecoinvent.org/3.11/cutoff/dataset/22562/documentation</t>
  </si>
  <si>
    <t>zinc hydroxide</t>
  </si>
  <si>
    <t>substrate metal</t>
  </si>
  <si>
    <t>substrate plastic</t>
  </si>
  <si>
    <t>aluminiumhydroxide</t>
  </si>
  <si>
    <t>bismaleimide triazine resin</t>
  </si>
  <si>
    <t>glass fibre</t>
  </si>
  <si>
    <t>connection</t>
  </si>
  <si>
    <t>bump</t>
  </si>
  <si>
    <t>silver</t>
  </si>
  <si>
    <t>market for silver</t>
  </si>
  <si>
    <t>https://ecoquery.ecoinvent.org/3.11/cutoff/dataset/3448/documentation</t>
  </si>
  <si>
    <t>tin</t>
  </si>
  <si>
    <t>tin production</t>
  </si>
  <si>
    <t>https://ecoquery.ecoinvent.org/3.11/cutoff/dataset/1387/documentation</t>
  </si>
  <si>
    <t>underfill</t>
  </si>
  <si>
    <t>1,6-bisnaphthalene</t>
  </si>
  <si>
    <t>additives</t>
  </si>
  <si>
    <t>market for phthalic anhydride</t>
  </si>
  <si>
    <t>https://ecoquery.ecoinvent.org/3.12/cutoff/dataset/93335/documentation</t>
  </si>
  <si>
    <t>One example of additive for epoxy resin</t>
  </si>
  <si>
    <t>amine type hardener</t>
  </si>
  <si>
    <t>market for piperidine</t>
  </si>
  <si>
    <t>https://ecoquery.ecoinvent.org/3.11/cutoff/dataset/5269/documentation</t>
  </si>
  <si>
    <t>https://www.sciencedirect.com/science/chapter/edited-volume/abs/pii/B9781455731077000087</t>
  </si>
  <si>
    <t>bismuth compounds</t>
  </si>
  <si>
    <t>bisphenol a liquid epoxy resin</t>
  </si>
  <si>
    <t>bisphenol f liquid epoxy resin</t>
  </si>
  <si>
    <t>Https://ecoquery.ecoinvent.org/3.11/cutoff/dataset/14197/documentation</t>
  </si>
  <si>
    <t>carbon black</t>
  </si>
  <si>
    <t>carbon black production</t>
  </si>
  <si>
    <t>https://ecoquery.ecoinvent.org/3.11/cutoff/dataset/7608/documentation</t>
  </si>
  <si>
    <t>die</t>
  </si>
  <si>
    <t>chip_1</t>
  </si>
  <si>
    <t>silicon</t>
  </si>
  <si>
    <t>chip_2</t>
  </si>
  <si>
    <t>aluminium</t>
  </si>
  <si>
    <t>cobalt</t>
  </si>
  <si>
    <t>cobalt production</t>
  </si>
  <si>
    <t>https://ecoquery.ecoinvent.org/3.11/cutoff/dataset/9498/documentation</t>
  </si>
  <si>
    <t>lead-borate glass</t>
  </si>
  <si>
    <t>market for lead concentrate</t>
  </si>
  <si>
    <t>https://ecoquery.ecoinvent.org/3.11/cutoff/dataset/5892/documentation</t>
  </si>
  <si>
    <t>polyimide</t>
  </si>
  <si>
    <t>adhesive production, for metal</t>
  </si>
  <si>
    <t>https://ecoquery.ecoinvent.org/3.11/cutoff/dataset/8046/documentation</t>
  </si>
  <si>
    <t>silicon nitride</t>
  </si>
  <si>
    <t>silicon oxide</t>
  </si>
  <si>
    <t>tantalum</t>
  </si>
  <si>
    <t>tantalum mine operation and beneficiation</t>
  </si>
  <si>
    <t>https://ecoquery.ecoinvent.org/3.11/cutoff/dataset/24970/documentation</t>
  </si>
  <si>
    <t>titanium</t>
  </si>
  <si>
    <t>titanium production</t>
  </si>
  <si>
    <t>https://ecoquery.ecoinvent.org/3.11/cutoff/dataset/13572/documentation</t>
  </si>
  <si>
    <t>die attach</t>
  </si>
  <si>
    <t>epoxy resin</t>
  </si>
  <si>
    <t>phenol-formaldehyde polymer</t>
  </si>
  <si>
    <t>encapsulation</t>
  </si>
  <si>
    <t>silicondioxide</t>
  </si>
  <si>
    <t>silicone resin</t>
  </si>
  <si>
    <t>lid</t>
  </si>
  <si>
    <t>zinc</t>
  </si>
  <si>
    <t>lid platings</t>
  </si>
  <si>
    <t xml:space="preserve"> </t>
  </si>
  <si>
    <t>metal lid</t>
  </si>
  <si>
    <t>3-glycidoxypropyltrimethoxysilane</t>
  </si>
  <si>
    <t>https://reptox.cnesst.gouv.qc.ca/pages/fiche-complete.aspx?no_produit=205666&amp;no_seq=8</t>
  </si>
  <si>
    <t>bisphenol a diglycidyl ether resin</t>
  </si>
  <si>
    <t>carbon</t>
  </si>
  <si>
    <t>Https://ecoquery.ecoinvent.org/3.11/cutoff/dataset/7608/documentation</t>
  </si>
  <si>
    <t>chromium</t>
  </si>
  <si>
    <t>iron</t>
  </si>
  <si>
    <t>pig iron production</t>
  </si>
  <si>
    <t>https://ecoquery.ecoinvent.org/3.11/cutoff/dataset/19549/documentation</t>
  </si>
  <si>
    <t>manganese</t>
  </si>
  <si>
    <t>manganese production</t>
  </si>
  <si>
    <t>https://ecoquery.ecoinvent.org/3.11/cutoff/dataset/9548/documentation</t>
  </si>
  <si>
    <t>methyl methacrylate crosspolymer</t>
  </si>
  <si>
    <t>methyl methacrylate production, acetone cyanohydrin process, with ammonium sulfate recovery</t>
  </si>
  <si>
    <t>https://ecoquery.ecoinvent.org/3.11/cutoff/dataset/94255/documentation</t>
  </si>
  <si>
    <t>sulfur</t>
  </si>
  <si>
    <t>sulfur production, petroleum refinery operation</t>
  </si>
  <si>
    <t>https://ecoquery.ecoinvent.org/3.11/cutoff/dataset/20786/documentation</t>
  </si>
  <si>
    <t>zinc oxide</t>
  </si>
  <si>
    <t>zinc oxide production</t>
  </si>
  <si>
    <t>https://ecoquery.ecoinvent.org/3.11/cutoff/dataset/6904/documentation</t>
  </si>
  <si>
    <t>mold compound</t>
  </si>
  <si>
    <t>dimer acid diglycidyl ester</t>
  </si>
  <si>
    <t>https://en.wikipedia.org/wiki/Dimer_acid</t>
  </si>
  <si>
    <t>epon resin 828</t>
  </si>
  <si>
    <t>metal hydroxide</t>
  </si>
  <si>
    <t>aluminium for metal</t>
  </si>
  <si>
    <t>miscellaneous</t>
  </si>
  <si>
    <t>polytetrafluoroethylene</t>
  </si>
  <si>
    <t>polytetrafluoroethylene production, emulsion polymerization</t>
  </si>
  <si>
    <t>https://ecoquery.ecoinvent.org/3.12/cutoff/dataset/276585/documentation</t>
  </si>
  <si>
    <t>proprietary material-other epoxy resins</t>
  </si>
  <si>
    <t>proprietary material-other phenolic resins</t>
  </si>
  <si>
    <t>https://ecoquery.ecoinvent.org/3.12/cutoff/dataset/9282/documentation</t>
  </si>
  <si>
    <t>silica vitreous 60676-86-0</t>
  </si>
  <si>
    <t>silica, vitreous [ fused silica ]</t>
  </si>
  <si>
    <t>silicon dioxide cas 7631-86-9</t>
  </si>
  <si>
    <t>https://ecoquery.ecoinvent.org/3.12/cutoff/dataset/3448/documentation</t>
  </si>
  <si>
    <t>sumitomo-molding-epoxy resin a-ip</t>
  </si>
  <si>
    <t>sumitomo-molding-phenol resin-ip</t>
  </si>
  <si>
    <t>plating</t>
  </si>
  <si>
    <t>finishing</t>
  </si>
  <si>
    <t>coating</t>
  </si>
  <si>
    <t>filler</t>
  </si>
  <si>
    <t>calcium carbonate production, precipitated</t>
  </si>
  <si>
    <t>https://ecoquery.ecoinvent.org/3.12/cutoff/dataset/275603/documentation</t>
  </si>
  <si>
    <t>https://en.wikipedia.org/wiki/Filler_(materials)</t>
  </si>
  <si>
    <t>silicone</t>
  </si>
  <si>
    <t>glue</t>
  </si>
  <si>
    <t>dicyandiamide</t>
  </si>
  <si>
    <t>market for nitrile-compound</t>
  </si>
  <si>
    <t xml:space="preserve">   </t>
  </si>
  <si>
    <t>https://fr.wikipedia.org/wiki/Dicyandiamide</t>
  </si>
  <si>
    <t>dimethyl siloxane</t>
  </si>
  <si>
    <t>silicon tetrachloride production</t>
  </si>
  <si>
    <t>https://ecoquery.ecoinvent.org/3.12/cutoff/dataset/2310/documentation</t>
  </si>
  <si>
    <t>huile de silicone : https://fr.wikipedia.org/wiki/T%C3%A9trachlorure_de_silicium</t>
  </si>
  <si>
    <t>oxirane</t>
  </si>
  <si>
    <t>ethylene oxide production, ethylene oxidation</t>
  </si>
  <si>
    <t>https://ecoquery.ecoinvent.org/3.12/cutoff/dataset/275989/documentation</t>
  </si>
  <si>
    <t>https://fr.wikipedia.org/wiki/Oxyde_d%27%C3%A9thyl%C3%A8ne</t>
  </si>
  <si>
    <t>Materials</t>
  </si>
  <si>
    <t>-</t>
  </si>
  <si>
    <t>Mass</t>
  </si>
  <si>
    <t>EcoInvent3.12</t>
  </si>
  <si>
    <t>Mapping</t>
  </si>
  <si>
    <t>Gold()</t>
  </si>
  <si>
    <t>Nickel()</t>
  </si>
  <si>
    <t>AluminiumOxide()</t>
  </si>
  <si>
    <t>AluminiumHydroxide()</t>
  </si>
  <si>
    <t>Silica()</t>
  </si>
  <si>
    <t>BariumSulfide()</t>
  </si>
  <si>
    <t>EpoxyResin()</t>
  </si>
  <si>
    <t>Pentane()</t>
  </si>
  <si>
    <t>BisphenolAEpoxy()</t>
  </si>
  <si>
    <t>BoronCarbide()</t>
  </si>
  <si>
    <t>HydratedLime()</t>
  </si>
  <si>
    <t>Chromium()</t>
  </si>
  <si>
    <t>Copper()</t>
  </si>
  <si>
    <t>GlassFibre()</t>
  </si>
  <si>
    <t>MagnesiumOxide()</t>
  </si>
  <si>
    <t>MethoxyPropanol()</t>
  </si>
  <si>
    <t>Molybdenum()</t>
  </si>
  <si>
    <t>AluminiumIngot()</t>
  </si>
  <si>
    <t>InorganicChemicals()</t>
  </si>
  <si>
    <t>Palladium()</t>
  </si>
  <si>
    <t>PhenolicResin()</t>
  </si>
  <si>
    <t>PhosphorousChloride()</t>
  </si>
  <si>
    <t>Silicone()</t>
  </si>
  <si>
    <t>TitaniumDioxide()</t>
  </si>
  <si>
    <t>Triazine()</t>
  </si>
  <si>
    <t>Tungsten()</t>
  </si>
  <si>
    <t>ZincOxide()</t>
  </si>
  <si>
    <t>Silver()</t>
  </si>
  <si>
    <t>Tin()</t>
  </si>
  <si>
    <t>PhthalicAnhydride()</t>
  </si>
  <si>
    <t>Piperidine()</t>
  </si>
  <si>
    <t>CarbonBlack()</t>
  </si>
  <si>
    <t>PigIron()</t>
  </si>
  <si>
    <t>Manganese()</t>
  </si>
  <si>
    <t>MethylMethacrylate()</t>
  </si>
  <si>
    <t>Sulfur()</t>
  </si>
  <si>
    <t>PolytetraFluoroEthylene()</t>
  </si>
  <si>
    <t>Adhesive()</t>
  </si>
  <si>
    <t>Cobalt()</t>
  </si>
  <si>
    <t>CalciumCarbonate()</t>
  </si>
  <si>
    <t>Nitrile()</t>
  </si>
  <si>
    <t>SiliconeTetrachloride()</t>
  </si>
  <si>
    <t>EthyleneOxide()</t>
  </si>
  <si>
    <t>Recycling (ecoinvent)</t>
  </si>
  <si>
    <t>Landfill (ecoinvent)</t>
  </si>
  <si>
    <t>treatment of copper scrap by electrolytic refining</t>
  </si>
  <si>
    <t>treatment of aluminium in car shredder residue, municipal incineration</t>
  </si>
  <si>
    <t>treatment of aluminium scrap, post-consumer, prepared for recycling, at refiner</t>
  </si>
  <si>
    <t>treatment of waste aluminium, sanitary landfill</t>
  </si>
  <si>
    <t>treatment of waste plastic, mixed, recycling</t>
  </si>
  <si>
    <t>treatment of cake from sorting of waste plastic, sanitary landfill</t>
  </si>
  <si>
    <t>treatment of nickel smelter slag, residual material landfill</t>
  </si>
  <si>
    <t>treatment of limestone residue, inert material landfill</t>
  </si>
  <si>
    <t>treatment of tin slag, residual material landfill</t>
  </si>
  <si>
    <t>tinplate, in mixed metal scrap, Recycled Content cut-off</t>
  </si>
  <si>
    <t>treatment of zinc slag, residual material landfill</t>
  </si>
  <si>
    <t>market for iron scrap, unsorted</t>
  </si>
  <si>
    <t>iron scrap, unsorted, Recycled Content cut-off</t>
  </si>
  <si>
    <t xml:space="preserve">Model list of materials </t>
  </si>
  <si>
    <t>Materials_intel_xeon_model</t>
  </si>
  <si>
    <t>The following sheet is the list of the materials estimated from the model before the correction with the laboratory analysis results. There are the corresponding mass for the materials and the link to the Ecoinvent database used to estimated the environmental impact of each of the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</si>
</sst>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0"/>
      <color rgb="FF000000"/>
      <name val="Calibri2"/>
    </font>
    <font>
      <sz val="10"/>
      <color rgb="FF000000"/>
      <name val="Calibri2"/>
    </font>
    <font>
      <b/>
      <sz val="10"/>
      <color theme="1"/>
      <name val="Calibri"/>
      <family val="2"/>
    </font>
    <font>
      <b/>
      <sz val="10"/>
      <color rgb="FFFFFFFF"/>
      <name val="Calibri"/>
      <family val="2"/>
    </font>
    <font>
      <sz val="10"/>
      <color rgb="FFCC0000"/>
      <name val="Calibri"/>
      <family val="2"/>
    </font>
    <font>
      <i/>
      <sz val="10"/>
      <color rgb="FF808080"/>
      <name val="Calibri"/>
      <family val="2"/>
    </font>
    <font>
      <sz val="10"/>
      <color rgb="FF006600"/>
      <name val="Calibri"/>
      <family val="2"/>
    </font>
    <font>
      <b/>
      <sz val="24"/>
      <color theme="1"/>
      <name val="Calibri"/>
      <family val="2"/>
    </font>
    <font>
      <b/>
      <sz val="18"/>
      <color theme="1"/>
      <name val="Calibri"/>
      <family val="2"/>
    </font>
    <font>
      <b/>
      <sz val="12"/>
      <color theme="1"/>
      <name val="Calibri"/>
      <family val="2"/>
    </font>
    <font>
      <u/>
      <sz val="10"/>
      <color rgb="FF0000EE"/>
      <name val="Calibri"/>
      <family val="2"/>
    </font>
    <font>
      <u/>
      <sz val="10"/>
      <color rgb="FF467886"/>
      <name val="Calibri"/>
      <family val="2"/>
    </font>
    <font>
      <sz val="10"/>
      <color rgb="FF996600"/>
      <name val="Calibri"/>
      <family val="2"/>
    </font>
    <font>
      <sz val="10"/>
      <color rgb="FF333333"/>
      <name val="Calibri"/>
      <family val="2"/>
    </font>
    <font>
      <b/>
      <i/>
      <u/>
      <sz val="10"/>
      <color theme="1"/>
      <name val="Calibri"/>
      <family val="2"/>
    </font>
    <font>
      <b/>
      <sz val="32"/>
      <color rgb="FF000000"/>
      <name val="Calibri2"/>
    </font>
    <font>
      <b/>
      <sz val="10"/>
      <color rgb="FF000000"/>
      <name val="Calibri2"/>
    </font>
    <font>
      <b/>
      <sz val="14"/>
      <color rgb="FF000000"/>
      <name val="Calibri2"/>
    </font>
    <font>
      <b/>
      <sz val="24"/>
      <color rgb="FF000000"/>
      <name val="Calibri2"/>
    </font>
    <font>
      <b/>
      <sz val="20"/>
      <color rgb="FF000000"/>
      <name val="Calibri2"/>
    </font>
    <font>
      <sz val="14"/>
      <color rgb="FF000000"/>
      <name val="Calibri2"/>
    </font>
    <font>
      <sz val="15"/>
      <color rgb="FF000000"/>
      <name val="Calibri2"/>
    </font>
    <font>
      <sz val="10"/>
      <color rgb="FF000000"/>
      <name val="Calibri1"/>
    </font>
    <font>
      <sz val="10"/>
      <name val="Calibri2"/>
    </font>
    <font>
      <b/>
      <sz val="10"/>
      <name val="Calibri2"/>
    </font>
  </fonts>
  <fills count="13">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972F"/>
        <bgColor rgb="FFFF972F"/>
      </patternFill>
    </fill>
    <fill>
      <patternFill patternType="solid">
        <fgColor rgb="FFFFDBB6"/>
        <bgColor rgb="FFFFDBB6"/>
      </patternFill>
    </fill>
    <fill>
      <patternFill patternType="solid">
        <fgColor rgb="FFFFF5CE"/>
        <bgColor rgb="FFFFF5CE"/>
      </patternFill>
    </fill>
    <fill>
      <patternFill patternType="solid">
        <fgColor theme="0" tint="-4.9989318521683403E-2"/>
        <bgColor indexed="64"/>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21">
    <xf numFmtId="0" fontId="0" fillId="0" borderId="0"/>
    <xf numFmtId="0" fontId="13" fillId="8" borderId="1" applyNumberFormat="0" applyProtection="0"/>
    <xf numFmtId="0" fontId="2" fillId="0" borderId="0" applyNumberFormat="0" applyFill="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3" fillId="6" borderId="0" applyNumberFormat="0" applyBorder="0" applyProtection="0"/>
    <xf numFmtId="0" fontId="5" fillId="0" borderId="0" applyNumberFormat="0" applyFill="0" applyBorder="0" applyProtection="0"/>
    <xf numFmtId="0" fontId="6" fillId="7" borderId="0" applyNumberFormat="0" applyBorder="0" applyProtection="0"/>
    <xf numFmtId="0" fontId="7" fillId="0" borderId="0" applyNumberFormat="0" applyFill="0" applyBorder="0" applyProtection="0"/>
    <xf numFmtId="0" fontId="8" fillId="0" borderId="0" applyNumberFormat="0" applyFill="0" applyBorder="0" applyProtection="0"/>
    <xf numFmtId="0" fontId="9" fillId="0" borderId="0" applyNumberFormat="0" applyFill="0" applyBorder="0" applyProtection="0"/>
    <xf numFmtId="0" fontId="10" fillId="0" borderId="0" applyNumberFormat="0" applyFill="0" applyBorder="0" applyProtection="0"/>
    <xf numFmtId="0" fontId="11" fillId="0" borderId="0" applyNumberFormat="0" applyFill="0" applyBorder="0" applyAlignment="0" applyProtection="0"/>
    <xf numFmtId="0" fontId="12" fillId="8" borderId="0" applyNumberFormat="0" applyBorder="0" applyProtection="0"/>
    <xf numFmtId="0" fontId="1" fillId="0" borderId="0" applyNumberFormat="0" applyFont="0" applyFill="0" applyBorder="0" applyAlignment="0" applyProtection="0"/>
    <xf numFmtId="0" fontId="14" fillId="0" borderId="0" applyNumberFormat="0" applyFill="0" applyBorder="0" applyProtection="0"/>
    <xf numFmtId="0" fontId="1" fillId="0" borderId="0" applyNumberFormat="0" applyFont="0" applyFill="0" applyBorder="0" applyProtection="0"/>
    <xf numFmtId="0" fontId="1" fillId="0" borderId="0" applyNumberFormat="0" applyFont="0" applyFill="0" applyBorder="0" applyProtection="0"/>
    <xf numFmtId="0" fontId="4" fillId="0" borderId="0" applyNumberFormat="0" applyFill="0" applyBorder="0" applyProtection="0"/>
  </cellStyleXfs>
  <cellXfs count="31">
    <xf numFmtId="0" fontId="0" fillId="0" borderId="0" xfId="0"/>
    <xf numFmtId="0" fontId="16" fillId="0" borderId="0" xfId="0" applyFont="1" applyAlignment="1">
      <alignment wrapText="1"/>
    </xf>
    <xf numFmtId="0" fontId="17" fillId="0" borderId="0" xfId="0" applyFont="1"/>
    <xf numFmtId="0" fontId="17" fillId="0" borderId="0" xfId="0" applyFont="1" applyAlignment="1">
      <alignment wrapText="1"/>
    </xf>
    <xf numFmtId="0" fontId="21" fillId="0" borderId="0" xfId="0" applyFont="1"/>
    <xf numFmtId="0" fontId="21" fillId="0" borderId="0" xfId="0" applyFont="1" applyAlignment="1">
      <alignment wrapText="1"/>
    </xf>
    <xf numFmtId="0" fontId="17" fillId="0" borderId="0" xfId="0" applyFont="1" applyAlignment="1">
      <alignment vertical="center"/>
    </xf>
    <xf numFmtId="0" fontId="17"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16" fillId="0" borderId="0" xfId="0" applyFont="1"/>
    <xf numFmtId="0" fontId="16" fillId="9" borderId="0" xfId="0" applyFont="1" applyFill="1"/>
    <xf numFmtId="0" fontId="16" fillId="10" borderId="0" xfId="0" applyFont="1" applyFill="1"/>
    <xf numFmtId="0" fontId="16" fillId="11" borderId="0" xfId="0" applyFont="1" applyFill="1" applyAlignment="1">
      <alignment horizontal="center"/>
    </xf>
    <xf numFmtId="0" fontId="0" fillId="0" borderId="0" xfId="0" applyAlignment="1">
      <alignment horizontal="center" vertical="center"/>
    </xf>
    <xf numFmtId="0" fontId="22" fillId="0" borderId="0" xfId="0" applyFont="1"/>
    <xf numFmtId="0" fontId="0" fillId="12" borderId="0" xfId="0" applyFill="1" applyAlignment="1">
      <alignment horizontal="center" vertical="center"/>
    </xf>
    <xf numFmtId="0" fontId="0" fillId="12" borderId="0" xfId="0" applyFill="1"/>
    <xf numFmtId="0" fontId="0" fillId="12" borderId="0" xfId="0" applyFill="1" applyAlignment="1">
      <alignment horizontal="right"/>
    </xf>
    <xf numFmtId="0" fontId="0" fillId="12" borderId="0" xfId="0" applyFill="1" applyAlignment="1">
      <alignment wrapText="1"/>
    </xf>
    <xf numFmtId="0" fontId="23" fillId="0" borderId="0" xfId="0" applyFont="1"/>
    <xf numFmtId="0" fontId="23" fillId="0" borderId="0" xfId="0" applyFont="1" applyAlignment="1">
      <alignment vertical="center"/>
    </xf>
    <xf numFmtId="0" fontId="24" fillId="0" borderId="0" xfId="0" applyFont="1"/>
    <xf numFmtId="0" fontId="19" fillId="0" borderId="0" xfId="0" applyFont="1" applyAlignment="1">
      <alignment horizontal="left" vertical="center"/>
    </xf>
    <xf numFmtId="0" fontId="0" fillId="0" borderId="0" xfId="0"/>
    <xf numFmtId="0" fontId="20" fillId="0" borderId="0" xfId="0" applyFont="1" applyAlignment="1">
      <alignment horizontal="left" vertical="center" wrapText="1"/>
    </xf>
    <xf numFmtId="0" fontId="15" fillId="0" borderId="0" xfId="0" applyFont="1" applyAlignment="1">
      <alignment horizontal="center" vertical="center"/>
    </xf>
    <xf numFmtId="0" fontId="18" fillId="0" borderId="0" xfId="0" applyFont="1" applyAlignment="1">
      <alignment horizontal="left" vertical="center"/>
    </xf>
    <xf numFmtId="0" fontId="0" fillId="0" borderId="0" xfId="0" applyAlignment="1">
      <alignment horizontal="center" vertical="center"/>
    </xf>
    <xf numFmtId="0" fontId="0" fillId="12" borderId="0" xfId="0" applyFill="1" applyAlignment="1">
      <alignment horizontal="center" vertical="center"/>
    </xf>
  </cellXfs>
  <cellStyles count="21">
    <cellStyle name="Accent" xfId="2" xr:uid="{156F1BAC-3B88-4A16-9E9D-F4DDC575B2D5}"/>
    <cellStyle name="Accent 1" xfId="3" xr:uid="{1913AAF2-CFE2-40DC-88F6-BB406D297138}"/>
    <cellStyle name="Accent 2" xfId="4" xr:uid="{278F05A0-7C96-460F-9F75-1BF061855C59}"/>
    <cellStyle name="Accent 3" xfId="5" xr:uid="{ED8C9C99-5D91-42F0-BEA5-8AF7F35B44CF}"/>
    <cellStyle name="Bad" xfId="6" xr:uid="{312DFB12-CDDA-4CD0-8EEC-F3C1FA8C9B93}"/>
    <cellStyle name="Error" xfId="7" xr:uid="{ABCF267D-4069-4292-921F-67C8D8C640E8}"/>
    <cellStyle name="Footnote" xfId="8" xr:uid="{4A78A71A-2DC8-4769-A5C5-77A06A4993C1}"/>
    <cellStyle name="Good" xfId="9" xr:uid="{C1B924D3-C011-411E-98A1-6B0C39463620}"/>
    <cellStyle name="Heading" xfId="10" xr:uid="{F54C9516-DF63-414B-950B-A2CB0DEACC70}"/>
    <cellStyle name="Heading 1" xfId="11" xr:uid="{C1A9FE50-2B60-4229-8E19-BD58C8D5244F}"/>
    <cellStyle name="Heading 2" xfId="12" xr:uid="{FA0C6233-BBF8-40DE-8ECD-E835577C97C2}"/>
    <cellStyle name="Hyperlink" xfId="13" xr:uid="{74F7F249-FEDF-4258-BD54-455D45E986CE}"/>
    <cellStyle name="Lien hypertexte" xfId="14" xr:uid="{C680B931-D278-4C73-BBC9-1764723DB427}"/>
    <cellStyle name="Neutral" xfId="15" xr:uid="{653D82D0-A138-4F11-942C-889D352AEC7F}"/>
    <cellStyle name="Normal" xfId="0" builtinId="0" customBuiltin="1"/>
    <cellStyle name="Note" xfId="1" builtinId="10" customBuiltin="1"/>
    <cellStyle name="Par défaut" xfId="16" xr:uid="{9A65606E-B80D-4BFB-9F1A-7FADEAD2CD32}"/>
    <cellStyle name="Result" xfId="17" xr:uid="{69BDCE6E-4213-47E2-9404-FDD8DFE8B019}"/>
    <cellStyle name="Status" xfId="18" xr:uid="{50157602-9FA0-42B7-A744-D8C58FE728F2}"/>
    <cellStyle name="Text" xfId="19" xr:uid="{ECF7F3BD-388A-4FD3-8ACA-D3232FE4E188}"/>
    <cellStyle name="Warning" xfId="20" xr:uid="{1BC2081C-4D6C-4726-85A6-387342890F24}"/>
  </cellStyles>
  <dxfs count="0"/>
  <tableStyles count="2" defaultTableStyle="TableStyleMedium2" defaultPivotStyle="PivotStyleLight16">
    <tableStyle name="Style de tableau croisé dynamique 1" table="0" count="0" xr9:uid="{2C473122-CEF6-443F-83A6-7E2968D620FF}"/>
    <tableStyle name="Style de tableau croisé dynamique 2" table="0" count="0" xr9:uid="{7253F06A-1875-4390-A3DB-3AF238C011A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ecoquery.ecoinvent.org/3.11/cutoff/dataset/8046/documentation" TargetMode="External"/><Relationship Id="rId21" Type="http://schemas.openxmlformats.org/officeDocument/2006/relationships/hyperlink" Target="https://ecoquery.ecoinvent.org/3.11/cutoff/dataset/7865/documentation" TargetMode="External"/><Relationship Id="rId42" Type="http://schemas.openxmlformats.org/officeDocument/2006/relationships/hyperlink" Target="https://ecoquery.ecoinvent.org/3.11/cutoff/dataset/19024/documentation" TargetMode="External"/><Relationship Id="rId63" Type="http://schemas.openxmlformats.org/officeDocument/2006/relationships/hyperlink" Target="https://ecoquery.ecoinvent.org/3.11/cutoff/dataset/14197/documentation" TargetMode="External"/><Relationship Id="rId84" Type="http://schemas.openxmlformats.org/officeDocument/2006/relationships/hyperlink" Target="https://ecoquery.ecoinvent.org/3.11/cutoff/dataset/9092/documentation" TargetMode="External"/><Relationship Id="rId16" Type="http://schemas.openxmlformats.org/officeDocument/2006/relationships/hyperlink" Target="https://ecoquery.ecoinvent.org/3.11/cutoff/dataset/2263/documentation" TargetMode="External"/><Relationship Id="rId107" Type="http://schemas.openxmlformats.org/officeDocument/2006/relationships/hyperlink" Target="https://ecoquery.ecoinvent.org/3.12/cutoff/dataset/275989/documentation" TargetMode="External"/><Relationship Id="rId11" Type="http://schemas.openxmlformats.org/officeDocument/2006/relationships/hyperlink" Target="https://ecoquery.ecoinvent.org/3.11/cutoff/dataset/8337/documentation" TargetMode="External"/><Relationship Id="rId32" Type="http://schemas.openxmlformats.org/officeDocument/2006/relationships/hyperlink" Target="https://ecoquery.ecoinvent.org/3.11/cutoff/dataset/2487/documentation" TargetMode="External"/><Relationship Id="rId37" Type="http://schemas.openxmlformats.org/officeDocument/2006/relationships/hyperlink" Target="https://ecoquery.ecoinvent.org/3.11/cutoff/dataset/10048/documentation" TargetMode="External"/><Relationship Id="rId53" Type="http://schemas.openxmlformats.org/officeDocument/2006/relationships/hyperlink" Target="https://ecoquery.ecoinvent.org/3.11/cutoff/dataset/14197/documentation" TargetMode="External"/><Relationship Id="rId58" Type="http://schemas.openxmlformats.org/officeDocument/2006/relationships/hyperlink" Target="https://ecoquery.ecoinvent.org/3.11/cutoff/dataset/8546/documentation" TargetMode="External"/><Relationship Id="rId74" Type="http://schemas.openxmlformats.org/officeDocument/2006/relationships/hyperlink" Target="https://ecoquery.ecoinvent.org/3.11/cutoff/dataset/6904/documentation" TargetMode="External"/><Relationship Id="rId79" Type="http://schemas.openxmlformats.org/officeDocument/2006/relationships/hyperlink" Target="https://ecoquery.ecoinvent.org/3.11/cutoff/dataset/2487/documentation" TargetMode="External"/><Relationship Id="rId102" Type="http://schemas.openxmlformats.org/officeDocument/2006/relationships/hyperlink" Target="https://ecoquery.ecoinvent.org/3.11/cutoff/dataset/13353/documentation" TargetMode="External"/><Relationship Id="rId123" Type="http://schemas.openxmlformats.org/officeDocument/2006/relationships/hyperlink" Target="https://ecoquery.ecoinvent.org/3.11/cutoff/dataset/1387/documentation" TargetMode="External"/><Relationship Id="rId128" Type="http://schemas.openxmlformats.org/officeDocument/2006/relationships/hyperlink" Target="https://ecoquery.ecoinvent.org/3.11/cutoff/dataset/230/documentation" TargetMode="External"/><Relationship Id="rId5" Type="http://schemas.openxmlformats.org/officeDocument/2006/relationships/hyperlink" Target="https://ecoquery.ecoinvent.org/3.11/cutoff/dataset/17909/documentation" TargetMode="External"/><Relationship Id="rId90" Type="http://schemas.openxmlformats.org/officeDocument/2006/relationships/hyperlink" Target="https://ecoquery.ecoinvent.org/3.11/cutoff/dataset/2487/documentation" TargetMode="External"/><Relationship Id="rId95" Type="http://schemas.openxmlformats.org/officeDocument/2006/relationships/hyperlink" Target="https://ecoquery.ecoinvent.org/3.12/cutoff/dataset/93335/documentation" TargetMode="External"/><Relationship Id="rId22" Type="http://schemas.openxmlformats.org/officeDocument/2006/relationships/hyperlink" Target="https://ecoquery.ecoinvent.org/3.11/cutoff/dataset/8546/documentation" TargetMode="External"/><Relationship Id="rId27" Type="http://schemas.openxmlformats.org/officeDocument/2006/relationships/hyperlink" Target="https://ecoquery.ecoinvent.org/3.11/cutoff/dataset/713/documentation" TargetMode="External"/><Relationship Id="rId43" Type="http://schemas.openxmlformats.org/officeDocument/2006/relationships/hyperlink" Target="https://ecoquery.ecoinvent.org/3.11/cutoff/dataset/6811/documentation" TargetMode="External"/><Relationship Id="rId48" Type="http://schemas.openxmlformats.org/officeDocument/2006/relationships/hyperlink" Target="https://ecoquery.ecoinvent.org/3.11/cutoff/dataset/2487/documentation" TargetMode="External"/><Relationship Id="rId64" Type="http://schemas.openxmlformats.org/officeDocument/2006/relationships/hyperlink" Target="https://ecoquery.ecoinvent.org/3.11/cutoff/dataset/7608/documentation" TargetMode="External"/><Relationship Id="rId69" Type="http://schemas.openxmlformats.org/officeDocument/2006/relationships/hyperlink" Target="https://ecoquery.ecoinvent.org/3.11/cutoff/dataset/9548/documentation" TargetMode="External"/><Relationship Id="rId113" Type="http://schemas.openxmlformats.org/officeDocument/2006/relationships/hyperlink" Target="https://ecoquery.ecoinvent.org/3.11/cutoff/dataset/9498/documentation" TargetMode="External"/><Relationship Id="rId118" Type="http://schemas.openxmlformats.org/officeDocument/2006/relationships/hyperlink" Target="https://ecoquery.ecoinvent.org/3.11/cutoff/dataset/230/documentation" TargetMode="External"/><Relationship Id="rId134" Type="http://schemas.openxmlformats.org/officeDocument/2006/relationships/hyperlink" Target="https://ecoquery.ecoinvent.org/3.11/cutoff/dataset/230/documentation" TargetMode="External"/><Relationship Id="rId80" Type="http://schemas.openxmlformats.org/officeDocument/2006/relationships/hyperlink" Target="https://ecoquery.ecoinvent.org/3.11/cutoff/dataset/19024/documentation" TargetMode="External"/><Relationship Id="rId85" Type="http://schemas.openxmlformats.org/officeDocument/2006/relationships/hyperlink" Target="https://ecoquery.ecoinvent.org/3.11/cutoff/dataset/9092/documentation" TargetMode="External"/><Relationship Id="rId12" Type="http://schemas.openxmlformats.org/officeDocument/2006/relationships/hyperlink" Target="https://ecoquery.ecoinvent.org/3.11/cutoff/dataset/2653/documentation" TargetMode="External"/><Relationship Id="rId17" Type="http://schemas.openxmlformats.org/officeDocument/2006/relationships/hyperlink" Target="https://ecoquery.ecoinvent.org/3.11/cutoff/dataset/21253/documentation" TargetMode="External"/><Relationship Id="rId33" Type="http://schemas.openxmlformats.org/officeDocument/2006/relationships/hyperlink" Target="https://ecoquery.ecoinvent.org/3.11/cutoff/dataset/230/documentation" TargetMode="External"/><Relationship Id="rId38" Type="http://schemas.openxmlformats.org/officeDocument/2006/relationships/hyperlink" Target="https://ecoquery.ecoinvent.org/3.11/cutoff/dataset/10048/documentation" TargetMode="External"/><Relationship Id="rId59" Type="http://schemas.openxmlformats.org/officeDocument/2006/relationships/hyperlink" Target="https://ecoquery.ecoinvent.org/3.11/cutoff/dataset/13353/documentation" TargetMode="External"/><Relationship Id="rId103" Type="http://schemas.openxmlformats.org/officeDocument/2006/relationships/hyperlink" Target="https://ecoquery.ecoinvent.org/3.11/cutoff/dataset/7608/documentation" TargetMode="External"/><Relationship Id="rId108" Type="http://schemas.openxmlformats.org/officeDocument/2006/relationships/hyperlink" Target="https://fr.wikipedia.org/wiki/Oxyde_d%27&#233;thyl&#232;ne" TargetMode="External"/><Relationship Id="rId124" Type="http://schemas.openxmlformats.org/officeDocument/2006/relationships/hyperlink" Target="https://ecoquery.ecoinvent.org/3.11/cutoff/dataset/13572/documentation" TargetMode="External"/><Relationship Id="rId129" Type="http://schemas.openxmlformats.org/officeDocument/2006/relationships/hyperlink" Target="https://ecoquery.ecoinvent.org/3.11/cutoff/dataset/230/documentation" TargetMode="External"/><Relationship Id="rId54" Type="http://schemas.openxmlformats.org/officeDocument/2006/relationships/hyperlink" Target="https://ecoquery.ecoinvent.org/3.11/cutoff/dataset/7608/documentation" TargetMode="External"/><Relationship Id="rId70" Type="http://schemas.openxmlformats.org/officeDocument/2006/relationships/hyperlink" Target="https://ecoquery.ecoinvent.org/3.11/cutoff/dataset/94255/documentation" TargetMode="External"/><Relationship Id="rId75" Type="http://schemas.openxmlformats.org/officeDocument/2006/relationships/hyperlink" Target="https://ecoquery.ecoinvent.org/3.11/cutoff/dataset/7608/documentation" TargetMode="External"/><Relationship Id="rId91" Type="http://schemas.openxmlformats.org/officeDocument/2006/relationships/hyperlink" Target="https://ecoquery.ecoinvent.org/3.11/cutoff/dataset/10048/documentation" TargetMode="External"/><Relationship Id="rId96" Type="http://schemas.openxmlformats.org/officeDocument/2006/relationships/hyperlink" Target="https://ecoquery.ecoinvent.org/3.11/cutoff/dataset/21253/documentation" TargetMode="External"/><Relationship Id="rId1" Type="http://schemas.openxmlformats.org/officeDocument/2006/relationships/hyperlink" Target="https://ecoquery.ecoinvent.org/3.11/cutoff/dataset/8546/documentation" TargetMode="External"/><Relationship Id="rId6" Type="http://schemas.openxmlformats.org/officeDocument/2006/relationships/hyperlink" Target="https://ecoquery.ecoinvent.org/3.11/cutoff/dataset/9092/documentation" TargetMode="External"/><Relationship Id="rId23" Type="http://schemas.openxmlformats.org/officeDocument/2006/relationships/hyperlink" Target="https://ecoquery.ecoinvent.org/3.11/cutoff/dataset/25453/documentation" TargetMode="External"/><Relationship Id="rId28" Type="http://schemas.openxmlformats.org/officeDocument/2006/relationships/hyperlink" Target="https://ecoquery.ecoinvent.org/3.11/cutoff/dataset/3988/documentation" TargetMode="External"/><Relationship Id="rId49" Type="http://schemas.openxmlformats.org/officeDocument/2006/relationships/hyperlink" Target="https://ecoquery.ecoinvent.org/3.12/cutoff/dataset/93335/documentation" TargetMode="External"/><Relationship Id="rId114" Type="http://schemas.openxmlformats.org/officeDocument/2006/relationships/hyperlink" Target="https://ecoquery.ecoinvent.org/3.11/cutoff/dataset/21253/documentation" TargetMode="External"/><Relationship Id="rId119" Type="http://schemas.openxmlformats.org/officeDocument/2006/relationships/hyperlink" Target="https://ecoquery.ecoinvent.org/3.11/cutoff/dataset/230/documentation" TargetMode="External"/><Relationship Id="rId44" Type="http://schemas.openxmlformats.org/officeDocument/2006/relationships/hyperlink" Target="https://ecoquery.ecoinvent.org/3.11/cutoff/dataset/7865/documentation" TargetMode="External"/><Relationship Id="rId60" Type="http://schemas.openxmlformats.org/officeDocument/2006/relationships/hyperlink" Target="https://ecoquery.ecoinvent.org/3.11/cutoff/dataset/123/documentation" TargetMode="External"/><Relationship Id="rId65" Type="http://schemas.openxmlformats.org/officeDocument/2006/relationships/hyperlink" Target="https://ecoquery.ecoinvent.org/3.11/cutoff/dataset/7608/documentation" TargetMode="External"/><Relationship Id="rId81" Type="http://schemas.openxmlformats.org/officeDocument/2006/relationships/hyperlink" Target="https://ecoquery.ecoinvent.org/3.12/cutoff/dataset/276585/documentation" TargetMode="External"/><Relationship Id="rId86" Type="http://schemas.openxmlformats.org/officeDocument/2006/relationships/hyperlink" Target="https://ecoquery.ecoinvent.org/3.11/cutoff/dataset/230/documentation" TargetMode="External"/><Relationship Id="rId130" Type="http://schemas.openxmlformats.org/officeDocument/2006/relationships/hyperlink" Target="https://ecoquery.ecoinvent.org/3.11/cutoff/dataset/6904/documentation" TargetMode="External"/><Relationship Id="rId135" Type="http://schemas.openxmlformats.org/officeDocument/2006/relationships/hyperlink" Target="https://ecoquery.ecoinvent.org/3.11/cutoff/dataset/230/documentation" TargetMode="External"/><Relationship Id="rId13" Type="http://schemas.openxmlformats.org/officeDocument/2006/relationships/hyperlink" Target="https://ecoquery.ecoinvent.org/3.11/cutoff/dataset/2653/documentation" TargetMode="External"/><Relationship Id="rId18" Type="http://schemas.openxmlformats.org/officeDocument/2006/relationships/hyperlink" Target="https://ecoquery.ecoinvent.org/3.11/cutoff/dataset/21253/documentation" TargetMode="External"/><Relationship Id="rId39" Type="http://schemas.openxmlformats.org/officeDocument/2006/relationships/hyperlink" Target="https://ecoquery.ecoinvent.org/3.11/cutoff/dataset/6811/documentation" TargetMode="External"/><Relationship Id="rId109" Type="http://schemas.openxmlformats.org/officeDocument/2006/relationships/hyperlink" Target="https://ecoquery.ecoinvent.org/3.11/cutoff/dataset/230/documentation" TargetMode="External"/><Relationship Id="rId34" Type="http://schemas.openxmlformats.org/officeDocument/2006/relationships/hyperlink" Target="https://ecoquery.ecoinvent.org/3.11/cutoff/dataset/4114/documentation" TargetMode="External"/><Relationship Id="rId50" Type="http://schemas.openxmlformats.org/officeDocument/2006/relationships/hyperlink" Target="https://ecoquery.ecoinvent.org/3.11/cutoff/dataset/5269/documentation" TargetMode="External"/><Relationship Id="rId55" Type="http://schemas.openxmlformats.org/officeDocument/2006/relationships/hyperlink" Target="https://ecoquery.ecoinvent.org/3.11/cutoff/dataset/230/documentation" TargetMode="External"/><Relationship Id="rId76" Type="http://schemas.openxmlformats.org/officeDocument/2006/relationships/hyperlink" Target="https://ecoquery.ecoinvent.org/3.11/cutoff/dataset/8046/documentation" TargetMode="External"/><Relationship Id="rId97" Type="http://schemas.openxmlformats.org/officeDocument/2006/relationships/hyperlink" Target="https://ecoquery.ecoinvent.org/3.12/cutoff/dataset/275603/documentation" TargetMode="External"/><Relationship Id="rId104" Type="http://schemas.openxmlformats.org/officeDocument/2006/relationships/hyperlink" Target="https://fr.wikipedia.org/wiki/Dicyandiamide" TargetMode="External"/><Relationship Id="rId120" Type="http://schemas.openxmlformats.org/officeDocument/2006/relationships/hyperlink" Target="https://ecoquery.ecoinvent.org/3.11/cutoff/dataset/230/documentation" TargetMode="External"/><Relationship Id="rId125" Type="http://schemas.openxmlformats.org/officeDocument/2006/relationships/hyperlink" Target="https://ecoquery.ecoinvent.org/3.11/cutoff/dataset/22562/documentation" TargetMode="External"/><Relationship Id="rId7" Type="http://schemas.openxmlformats.org/officeDocument/2006/relationships/hyperlink" Target="https://ecoquery.ecoinvent.org/3.11/cutoff/dataset/16137/documentation" TargetMode="External"/><Relationship Id="rId71" Type="http://schemas.openxmlformats.org/officeDocument/2006/relationships/hyperlink" Target="https://ecoquery.ecoinvent.org/3.11/cutoff/dataset/13353/documentation" TargetMode="External"/><Relationship Id="rId92" Type="http://schemas.openxmlformats.org/officeDocument/2006/relationships/hyperlink" Target="https://ecoquery.ecoinvent.org/3.11/cutoff/dataset/9498/documentation" TargetMode="External"/><Relationship Id="rId2" Type="http://schemas.openxmlformats.org/officeDocument/2006/relationships/hyperlink" Target="https://ecoquery.ecoinvent.org/3.11/cutoff/dataset/13353/documentation" TargetMode="External"/><Relationship Id="rId29" Type="http://schemas.openxmlformats.org/officeDocument/2006/relationships/hyperlink" Target="https://ecoquery.ecoinvent.org/3.11/cutoff/dataset/9282/documentation" TargetMode="External"/><Relationship Id="rId24" Type="http://schemas.openxmlformats.org/officeDocument/2006/relationships/hyperlink" Target="https://ecoquery.ecoinvent.org/3.11/cutoff/dataset/2040/documentation" TargetMode="External"/><Relationship Id="rId40" Type="http://schemas.openxmlformats.org/officeDocument/2006/relationships/hyperlink" Target="https://ecoquery.ecoinvent.org/3.11/cutoff/dataset/22562/documentation" TargetMode="External"/><Relationship Id="rId45" Type="http://schemas.openxmlformats.org/officeDocument/2006/relationships/hyperlink" Target="https://ecoquery.ecoinvent.org/3.11/cutoff/dataset/21253/documentation" TargetMode="External"/><Relationship Id="rId66" Type="http://schemas.openxmlformats.org/officeDocument/2006/relationships/hyperlink" Target="https://ecoquery.ecoinvent.org/3.11/cutoff/dataset/2263/documentation" TargetMode="External"/><Relationship Id="rId87" Type="http://schemas.openxmlformats.org/officeDocument/2006/relationships/hyperlink" Target="https://ecoquery.ecoinvent.org/3.11/cutoff/dataset/230/documentation" TargetMode="External"/><Relationship Id="rId110" Type="http://schemas.openxmlformats.org/officeDocument/2006/relationships/hyperlink" Target="https://ecoquery.ecoinvent.org/3.11/cutoff/dataset/4114/documentation" TargetMode="External"/><Relationship Id="rId115" Type="http://schemas.openxmlformats.org/officeDocument/2006/relationships/hyperlink" Target="https://ecoquery.ecoinvent.org/3.11/cutoff/dataset/5892/documentation" TargetMode="External"/><Relationship Id="rId131" Type="http://schemas.openxmlformats.org/officeDocument/2006/relationships/hyperlink" Target="https://ecoquery.ecoinvent.org/3.11/cutoff/dataset/6904/documentation" TargetMode="External"/><Relationship Id="rId136" Type="http://schemas.openxmlformats.org/officeDocument/2006/relationships/hyperlink" Target="https://ecoquery.ecoinvent.org/3.11/cutoff/dataset/230/documentation" TargetMode="External"/><Relationship Id="rId61" Type="http://schemas.openxmlformats.org/officeDocument/2006/relationships/hyperlink" Target="https://ecoquery.ecoinvent.org/3.11/cutoff/dataset/2487/documentation" TargetMode="External"/><Relationship Id="rId82" Type="http://schemas.openxmlformats.org/officeDocument/2006/relationships/hyperlink" Target="https://ecoquery.ecoinvent.org/3.11/cutoff/dataset/2487/documentation" TargetMode="External"/><Relationship Id="rId19" Type="http://schemas.openxmlformats.org/officeDocument/2006/relationships/hyperlink" Target="https://ecoquery.ecoinvent.org/3.11/cutoff/dataset/21253/documentation" TargetMode="External"/><Relationship Id="rId14" Type="http://schemas.openxmlformats.org/officeDocument/2006/relationships/hyperlink" Target="https://ecoquery.ecoinvent.org/3.11/cutoff/dataset/2653/documentation" TargetMode="External"/><Relationship Id="rId30" Type="http://schemas.openxmlformats.org/officeDocument/2006/relationships/hyperlink" Target="https://ecoquery.ecoinvent.org/3.11/cutoff/dataset/123/documentation" TargetMode="External"/><Relationship Id="rId35" Type="http://schemas.openxmlformats.org/officeDocument/2006/relationships/hyperlink" Target="https://ecoquery.ecoinvent.org/3.11/cutoff/dataset/4114/documentation" TargetMode="External"/><Relationship Id="rId56" Type="http://schemas.openxmlformats.org/officeDocument/2006/relationships/hyperlink" Target="https://ecoquery.ecoinvent.org/3.11/cutoff/dataset/9092/documentation" TargetMode="External"/><Relationship Id="rId77" Type="http://schemas.openxmlformats.org/officeDocument/2006/relationships/hyperlink" Target="https://en.wikipedia.org/wiki/Dimer_acid" TargetMode="External"/><Relationship Id="rId100" Type="http://schemas.openxmlformats.org/officeDocument/2006/relationships/hyperlink" Target="https://ecoquery.ecoinvent.org/3.11/cutoff/dataset/13353/documentation" TargetMode="External"/><Relationship Id="rId105" Type="http://schemas.openxmlformats.org/officeDocument/2006/relationships/hyperlink" Target="https://ecoquery.ecoinvent.org/3.12/cutoff/dataset/2310/documentation" TargetMode="External"/><Relationship Id="rId126" Type="http://schemas.openxmlformats.org/officeDocument/2006/relationships/hyperlink" Target="https://ecoquery.ecoinvent.org/3.11/cutoff/dataset/2487/documentation" TargetMode="External"/><Relationship Id="rId8" Type="http://schemas.openxmlformats.org/officeDocument/2006/relationships/hyperlink" Target="https://ecoquery.ecoinvent.org/3.11/cutoff/dataset/2487/documentation" TargetMode="External"/><Relationship Id="rId51" Type="http://schemas.openxmlformats.org/officeDocument/2006/relationships/hyperlink" Target="https://www.sciencedirect.com/science/chapter/edited-volume/abs/pii/B9781455731077000087" TargetMode="External"/><Relationship Id="rId72" Type="http://schemas.openxmlformats.org/officeDocument/2006/relationships/hyperlink" Target="https://ecoquery.ecoinvent.org/3.11/cutoff/dataset/123/documentation" TargetMode="External"/><Relationship Id="rId93" Type="http://schemas.openxmlformats.org/officeDocument/2006/relationships/hyperlink" Target="https://ecoquery.ecoinvent.org/3.11/cutoff/dataset/8546/documentation" TargetMode="External"/><Relationship Id="rId98" Type="http://schemas.openxmlformats.org/officeDocument/2006/relationships/hyperlink" Target="https://en.wikipedia.org/wiki/Filler_(materials)" TargetMode="External"/><Relationship Id="rId121" Type="http://schemas.openxmlformats.org/officeDocument/2006/relationships/hyperlink" Target="https://ecoquery.ecoinvent.org/3.11/cutoff/dataset/3448/documentation" TargetMode="External"/><Relationship Id="rId3" Type="http://schemas.openxmlformats.org/officeDocument/2006/relationships/hyperlink" Target="https://ecoquery.ecoinvent.org/3.11/cutoff/dataset/17909/documentation" TargetMode="External"/><Relationship Id="rId25" Type="http://schemas.openxmlformats.org/officeDocument/2006/relationships/hyperlink" Target="https://ecoquery.ecoinvent.org/3.11/cutoff/dataset/13353/documentation" TargetMode="External"/><Relationship Id="rId46" Type="http://schemas.openxmlformats.org/officeDocument/2006/relationships/hyperlink" Target="https://ecoquery.ecoinvent.org/3.11/cutoff/dataset/3448/documentation" TargetMode="External"/><Relationship Id="rId67" Type="http://schemas.openxmlformats.org/officeDocument/2006/relationships/hyperlink" Target="https://ecoquery.ecoinvent.org/3.11/cutoff/dataset/8546/documentation" TargetMode="External"/><Relationship Id="rId116" Type="http://schemas.openxmlformats.org/officeDocument/2006/relationships/hyperlink" Target="https://ecoquery.ecoinvent.org/3.11/cutoff/dataset/13353/documentation" TargetMode="External"/><Relationship Id="rId137" Type="http://schemas.openxmlformats.org/officeDocument/2006/relationships/printerSettings" Target="../printerSettings/printerSettings1.bin"/><Relationship Id="rId20" Type="http://schemas.openxmlformats.org/officeDocument/2006/relationships/hyperlink" Target="https://ecoquery.ecoinvent.org/3.11/cutoff/dataset/7865/documentation" TargetMode="External"/><Relationship Id="rId41" Type="http://schemas.openxmlformats.org/officeDocument/2006/relationships/hyperlink" Target="https://ecoquery.ecoinvent.org/3.11/cutoff/dataset/21253/documentation" TargetMode="External"/><Relationship Id="rId62" Type="http://schemas.openxmlformats.org/officeDocument/2006/relationships/hyperlink" Target="https://reptox.cnesst.gouv.qc.ca/pages/fiche-complete.aspx?no_produit=205666&amp;no_seq=8" TargetMode="External"/><Relationship Id="rId83" Type="http://schemas.openxmlformats.org/officeDocument/2006/relationships/hyperlink" Target="https://ecoquery.ecoinvent.org/3.12/cutoff/dataset/9282/documentation" TargetMode="External"/><Relationship Id="rId88" Type="http://schemas.openxmlformats.org/officeDocument/2006/relationships/hyperlink" Target="https://ecoquery.ecoinvent.org/3.12/cutoff/dataset/3448/documentation" TargetMode="External"/><Relationship Id="rId111" Type="http://schemas.openxmlformats.org/officeDocument/2006/relationships/hyperlink" Target="https://ecoquery.ecoinvent.org/3.11/cutoff/dataset/4114/documentation" TargetMode="External"/><Relationship Id="rId132" Type="http://schemas.openxmlformats.org/officeDocument/2006/relationships/hyperlink" Target="https://ecoquery.ecoinvent.org/3.11/cutoff/dataset/230/documentation" TargetMode="External"/><Relationship Id="rId15" Type="http://schemas.openxmlformats.org/officeDocument/2006/relationships/hyperlink" Target="https://ecoquery.ecoinvent.org/3.11/cutoff/dataset/2263/documentation" TargetMode="External"/><Relationship Id="rId36" Type="http://schemas.openxmlformats.org/officeDocument/2006/relationships/hyperlink" Target="https://ecoquery.ecoinvent.org/3.11/cutoff/dataset/2487/documentation" TargetMode="External"/><Relationship Id="rId57" Type="http://schemas.openxmlformats.org/officeDocument/2006/relationships/hyperlink" Target="https://ecoquery.ecoinvent.org/3.11/cutoff/dataset/21253/documentation" TargetMode="External"/><Relationship Id="rId106" Type="http://schemas.openxmlformats.org/officeDocument/2006/relationships/hyperlink" Target="https://ecoquery.ecoinvent.org/3.11/cutoff/dataset/2487/documentation" TargetMode="External"/><Relationship Id="rId127" Type="http://schemas.openxmlformats.org/officeDocument/2006/relationships/hyperlink" Target="https://ecoquery.ecoinvent.org/3.11/cutoff/dataset/9282/documentation" TargetMode="External"/><Relationship Id="rId10" Type="http://schemas.openxmlformats.org/officeDocument/2006/relationships/hyperlink" Target="https://ecoquery.ecoinvent.org/3.11/cutoff/dataset/14197/documentation" TargetMode="External"/><Relationship Id="rId31" Type="http://schemas.openxmlformats.org/officeDocument/2006/relationships/hyperlink" Target="https://ecoquery.ecoinvent.org/3.11/cutoff/dataset/2487/documentation" TargetMode="External"/><Relationship Id="rId52" Type="http://schemas.openxmlformats.org/officeDocument/2006/relationships/hyperlink" Target="https://ecoquery.ecoinvent.org/3.11/cutoff/dataset/14197/documentation" TargetMode="External"/><Relationship Id="rId73" Type="http://schemas.openxmlformats.org/officeDocument/2006/relationships/hyperlink" Target="https://ecoquery.ecoinvent.org/3.11/cutoff/dataset/20786/documentation" TargetMode="External"/><Relationship Id="rId78" Type="http://schemas.openxmlformats.org/officeDocument/2006/relationships/hyperlink" Target="https://ecoquery.ecoinvent.org/3.11/cutoff/dataset/2487/documentation" TargetMode="External"/><Relationship Id="rId94" Type="http://schemas.openxmlformats.org/officeDocument/2006/relationships/hyperlink" Target="https://ecoquery.ecoinvent.org/3.11/cutoff/dataset/13353/documentation" TargetMode="External"/><Relationship Id="rId99" Type="http://schemas.openxmlformats.org/officeDocument/2006/relationships/hyperlink" Target="https://ecoquery.ecoinvent.org/3.11/cutoff/dataset/8546/documentation" TargetMode="External"/><Relationship Id="rId101" Type="http://schemas.openxmlformats.org/officeDocument/2006/relationships/hyperlink" Target="https://ecoquery.ecoinvent.org/3.11/cutoff/dataset/8546/documentation" TargetMode="External"/><Relationship Id="rId122" Type="http://schemas.openxmlformats.org/officeDocument/2006/relationships/hyperlink" Target="https://ecoquery.ecoinvent.org/3.11/cutoff/dataset/24970/documentation" TargetMode="External"/><Relationship Id="rId4" Type="http://schemas.openxmlformats.org/officeDocument/2006/relationships/hyperlink" Target="https://ecoquery.ecoinvent.org/3.11/cutoff/dataset/19024/documentation" TargetMode="External"/><Relationship Id="rId9" Type="http://schemas.openxmlformats.org/officeDocument/2006/relationships/hyperlink" Target="https://ecoquery.ecoinvent.org/3.11/cutoff/dataset/1805/documentation" TargetMode="External"/><Relationship Id="rId26" Type="http://schemas.openxmlformats.org/officeDocument/2006/relationships/hyperlink" Target="https://ecoquery.ecoinvent.org/3.11/cutoff/dataset/11662/documentation" TargetMode="External"/><Relationship Id="rId47" Type="http://schemas.openxmlformats.org/officeDocument/2006/relationships/hyperlink" Target="https://ecoquery.ecoinvent.org/3.11/cutoff/dataset/1387/documentation" TargetMode="External"/><Relationship Id="rId68" Type="http://schemas.openxmlformats.org/officeDocument/2006/relationships/hyperlink" Target="https://ecoquery.ecoinvent.org/3.11/cutoff/dataset/19549/documentation" TargetMode="External"/><Relationship Id="rId89" Type="http://schemas.openxmlformats.org/officeDocument/2006/relationships/hyperlink" Target="https://ecoquery.ecoinvent.org/3.11/cutoff/dataset/2487/documentation" TargetMode="External"/><Relationship Id="rId112" Type="http://schemas.openxmlformats.org/officeDocument/2006/relationships/hyperlink" Target="https://ecoquery.ecoinvent.org/3.11/cutoff/dataset/11662/documentation" TargetMode="External"/><Relationship Id="rId133" Type="http://schemas.openxmlformats.org/officeDocument/2006/relationships/hyperlink" Target="https://ecoquery.ecoinvent.org/3.11/cutoff/dataset/230/documen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0FBD0-D5E1-4E04-BABB-02814DBD29C6}">
  <dimension ref="A1:E14"/>
  <sheetViews>
    <sheetView tabSelected="1" zoomScale="64" workbookViewId="0">
      <selection activeCell="C6" sqref="C6:D6"/>
    </sheetView>
  </sheetViews>
  <sheetFormatPr baseColWidth="10" defaultColWidth="11.88671875" defaultRowHeight="13.2"/>
  <cols>
    <col min="1" max="1" width="7.88671875" customWidth="1"/>
    <col min="2" max="2" width="5.33203125" customWidth="1"/>
    <col min="3" max="3" width="139.5546875" style="10" customWidth="1"/>
    <col min="4" max="4" width="65.5546875" style="10" customWidth="1"/>
    <col min="5" max="5" width="24.33203125" style="10" customWidth="1"/>
    <col min="6" max="6" width="11.88671875" customWidth="1"/>
  </cols>
  <sheetData>
    <row r="1" spans="1:5" s="2" customFormat="1" ht="82.2" customHeight="1">
      <c r="A1" s="27" t="s">
        <v>292</v>
      </c>
      <c r="B1" s="27"/>
      <c r="C1" s="27"/>
      <c r="D1" s="1"/>
      <c r="E1" s="1"/>
    </row>
    <row r="2" spans="1:5" s="2" customFormat="1" ht="55.8" customHeight="1">
      <c r="B2" s="28"/>
      <c r="C2" s="28"/>
      <c r="D2" s="3"/>
      <c r="E2" s="3"/>
    </row>
    <row r="3" spans="1:5" s="2" customFormat="1" ht="36" customHeight="1">
      <c r="B3" s="24" t="s">
        <v>293</v>
      </c>
      <c r="C3" s="24"/>
      <c r="D3" s="3"/>
      <c r="E3" s="3"/>
    </row>
    <row r="4" spans="1:5" ht="81.900000000000006" customHeight="1">
      <c r="A4" s="2"/>
      <c r="B4" s="2"/>
      <c r="C4" s="26" t="s">
        <v>294</v>
      </c>
      <c r="D4" s="26"/>
      <c r="E4" s="3"/>
    </row>
    <row r="5" spans="1:5" s="4" customFormat="1" ht="36" customHeight="1">
      <c r="A5" s="2"/>
      <c r="B5" s="24"/>
      <c r="C5" s="24"/>
      <c r="D5" s="3"/>
      <c r="E5" s="3"/>
    </row>
    <row r="6" spans="1:5" s="2" customFormat="1" ht="89.4" customHeight="1">
      <c r="A6" s="4"/>
      <c r="B6" s="4"/>
      <c r="C6" s="26"/>
      <c r="D6" s="26"/>
      <c r="E6" s="5"/>
    </row>
    <row r="7" spans="1:5" s="2" customFormat="1" ht="36" customHeight="1">
      <c r="B7" s="24"/>
      <c r="C7" s="24"/>
      <c r="D7" s="3"/>
      <c r="E7" s="3"/>
    </row>
    <row r="8" spans="1:5" s="6" customFormat="1" ht="129" customHeight="1">
      <c r="A8" s="2"/>
      <c r="B8" s="2"/>
      <c r="C8" s="26"/>
      <c r="D8" s="26"/>
      <c r="E8" s="3"/>
    </row>
    <row r="9" spans="1:5" s="2" customFormat="1" ht="36" customHeight="1">
      <c r="B9" s="24"/>
      <c r="C9" s="24"/>
      <c r="D9" s="3"/>
      <c r="E9" s="3"/>
    </row>
    <row r="10" spans="1:5" s="8" customFormat="1" ht="40.200000000000003" customHeight="1">
      <c r="A10" s="6"/>
      <c r="B10" s="6"/>
      <c r="C10" s="26"/>
      <c r="D10" s="26"/>
      <c r="E10" s="7"/>
    </row>
    <row r="11" spans="1:5" ht="36" customHeight="1">
      <c r="A11" s="2"/>
      <c r="B11" s="24"/>
      <c r="C11" s="24"/>
      <c r="D11" s="3"/>
      <c r="E11" s="3"/>
    </row>
    <row r="12" spans="1:5" ht="111" customHeight="1">
      <c r="A12" s="8"/>
      <c r="B12" s="8"/>
      <c r="C12" s="26"/>
      <c r="D12" s="26"/>
      <c r="E12" s="9"/>
    </row>
    <row r="13" spans="1:5" ht="24.6">
      <c r="A13" s="2"/>
      <c r="B13" s="24"/>
      <c r="C13" s="24"/>
    </row>
    <row r="14" spans="1:5" ht="63.15" customHeight="1">
      <c r="C14" s="25"/>
      <c r="D14" s="25"/>
    </row>
  </sheetData>
  <mergeCells count="14">
    <mergeCell ref="C6:D6"/>
    <mergeCell ref="A1:C1"/>
    <mergeCell ref="B2:C2"/>
    <mergeCell ref="B3:C3"/>
    <mergeCell ref="C4:D4"/>
    <mergeCell ref="B5:C5"/>
    <mergeCell ref="B13:C13"/>
    <mergeCell ref="C14:D14"/>
    <mergeCell ref="B7:C7"/>
    <mergeCell ref="C8:D8"/>
    <mergeCell ref="B9:C9"/>
    <mergeCell ref="C10:D10"/>
    <mergeCell ref="B11:C11"/>
    <mergeCell ref="C12:D12"/>
  </mergeCells>
  <pageMargins left="0" right="0" top="0.39370000000000005" bottom="0.39370000000000005" header="0" footer="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1050D-9D66-49DB-BC43-12E6E62027A2}">
  <dimension ref="A1:P137"/>
  <sheetViews>
    <sheetView zoomScale="92" zoomScaleNormal="62" workbookViewId="0">
      <selection activeCell="D81" sqref="D68:D81"/>
    </sheetView>
  </sheetViews>
  <sheetFormatPr baseColWidth="10" defaultRowHeight="13.2"/>
  <cols>
    <col min="1" max="1" width="16.77734375" customWidth="1"/>
    <col min="2" max="2" width="17.33203125" customWidth="1"/>
    <col min="3" max="3" width="30.21875" customWidth="1"/>
    <col min="4" max="4" width="19.109375" customWidth="1"/>
    <col min="5" max="5" width="11.33203125" customWidth="1"/>
    <col min="6" max="6" width="36.44140625" customWidth="1"/>
    <col min="7" max="7" width="21.88671875" style="10" customWidth="1"/>
    <col min="8" max="8" width="11.88671875" style="10" customWidth="1"/>
    <col min="9" max="9" width="11.88671875" customWidth="1"/>
    <col min="10" max="10" width="11.88671875" style="21" customWidth="1"/>
    <col min="11" max="11" width="29.5546875" customWidth="1"/>
    <col min="12" max="14" width="11.88671875" customWidth="1"/>
    <col min="15" max="15" width="47" customWidth="1"/>
    <col min="16" max="16" width="47.21875" customWidth="1"/>
    <col min="17" max="26" width="11.88671875" customWidth="1"/>
    <col min="27" max="27" width="11.5546875" customWidth="1"/>
  </cols>
  <sheetData>
    <row r="1" spans="1:16">
      <c r="A1" s="12" t="s">
        <v>1</v>
      </c>
      <c r="B1" s="13" t="s">
        <v>2</v>
      </c>
      <c r="C1" s="14" t="s">
        <v>3</v>
      </c>
      <c r="D1" s="11" t="s">
        <v>4</v>
      </c>
      <c r="E1" s="11" t="s">
        <v>233</v>
      </c>
      <c r="F1" s="11" t="s">
        <v>5</v>
      </c>
      <c r="G1" s="1" t="s">
        <v>6</v>
      </c>
      <c r="H1" s="1" t="s">
        <v>7</v>
      </c>
      <c r="J1" s="23" t="s">
        <v>233</v>
      </c>
      <c r="K1" s="11" t="s">
        <v>229</v>
      </c>
      <c r="L1" s="11" t="s">
        <v>231</v>
      </c>
      <c r="O1" s="11" t="s">
        <v>277</v>
      </c>
      <c r="P1" s="11" t="s">
        <v>278</v>
      </c>
    </row>
    <row r="2" spans="1:16" ht="19.8" customHeight="1">
      <c r="A2" s="29" t="s">
        <v>8</v>
      </c>
      <c r="B2" s="29" t="s">
        <v>9</v>
      </c>
      <c r="C2" t="s">
        <v>10</v>
      </c>
      <c r="D2">
        <v>0.45843553423456102</v>
      </c>
      <c r="E2" s="22" t="s">
        <v>234</v>
      </c>
      <c r="F2" t="s">
        <v>11</v>
      </c>
      <c r="G2" s="10" t="s">
        <v>12</v>
      </c>
      <c r="J2" s="22" t="s">
        <v>234</v>
      </c>
      <c r="K2" t="str" cm="1">
        <f t="array" ref="K2:K45">_xlfn.UNIQUE(F2:F118)</f>
        <v>gold production</v>
      </c>
      <c r="L2">
        <f t="shared" ref="L2:L45" si="0">SUMIF($F$2:$F$118, K2, $D$2:$D$118)</f>
        <v>3.8685404966442523</v>
      </c>
      <c r="O2" t="s">
        <v>230</v>
      </c>
      <c r="P2" t="s">
        <v>230</v>
      </c>
    </row>
    <row r="3" spans="1:16" ht="20.399999999999999" customHeight="1">
      <c r="A3" s="29"/>
      <c r="B3" s="29"/>
      <c r="C3" t="s">
        <v>13</v>
      </c>
      <c r="D3">
        <v>0.52330848719228196</v>
      </c>
      <c r="E3" s="22" t="s">
        <v>235</v>
      </c>
      <c r="F3" t="s">
        <v>14</v>
      </c>
      <c r="G3" s="10" t="s">
        <v>15</v>
      </c>
      <c r="J3" s="22" t="s">
        <v>235</v>
      </c>
      <c r="K3" t="str">
        <v>smelting and refining of nickel concentrate, 16% Ni</v>
      </c>
      <c r="L3">
        <f t="shared" si="0"/>
        <v>11.922783803852086</v>
      </c>
      <c r="O3" t="s">
        <v>230</v>
      </c>
      <c r="P3" t="s">
        <v>285</v>
      </c>
    </row>
    <row r="4" spans="1:16" ht="21.6" customHeight="1">
      <c r="A4" s="29"/>
      <c r="B4" s="29" t="s">
        <v>16</v>
      </c>
      <c r="C4" t="s">
        <v>17</v>
      </c>
      <c r="D4">
        <v>139.437925087325</v>
      </c>
      <c r="E4" s="22" t="s">
        <v>236</v>
      </c>
      <c r="F4" t="s">
        <v>18</v>
      </c>
      <c r="G4" s="10" t="s">
        <v>19</v>
      </c>
      <c r="J4" s="22" t="s">
        <v>236</v>
      </c>
      <c r="K4" t="str">
        <v>aluminium oxide production</v>
      </c>
      <c r="L4">
        <f t="shared" si="0"/>
        <v>1033.6640081106721</v>
      </c>
      <c r="O4" t="s">
        <v>281</v>
      </c>
      <c r="P4" t="s">
        <v>282</v>
      </c>
    </row>
    <row r="5" spans="1:16" ht="16.8" customHeight="1">
      <c r="A5" s="29"/>
      <c r="B5" s="29"/>
      <c r="C5" t="s">
        <v>20</v>
      </c>
      <c r="D5">
        <v>2.0716096311165599</v>
      </c>
      <c r="E5" s="22" t="s">
        <v>237</v>
      </c>
      <c r="F5" t="s">
        <v>21</v>
      </c>
      <c r="G5" s="10" t="s">
        <v>22</v>
      </c>
      <c r="J5" s="22" t="s">
        <v>237</v>
      </c>
      <c r="K5" t="str">
        <v>aluminium hydroxide production</v>
      </c>
      <c r="L5">
        <f t="shared" si="0"/>
        <v>7.7213908705863092</v>
      </c>
      <c r="O5" t="s">
        <v>281</v>
      </c>
      <c r="P5" t="s">
        <v>282</v>
      </c>
    </row>
    <row r="6" spans="1:16" ht="17.399999999999999" customHeight="1">
      <c r="A6" s="29"/>
      <c r="B6" s="29"/>
      <c r="C6" t="s">
        <v>23</v>
      </c>
      <c r="D6">
        <v>894.22608302334697</v>
      </c>
      <c r="E6" s="22" t="s">
        <v>236</v>
      </c>
      <c r="F6" t="s">
        <v>18</v>
      </c>
      <c r="G6" s="10" t="s">
        <v>19</v>
      </c>
      <c r="J6" s="22" t="s">
        <v>238</v>
      </c>
      <c r="K6" t="str">
        <v>silica sand production</v>
      </c>
      <c r="L6">
        <f t="shared" si="0"/>
        <v>94.421564813201229</v>
      </c>
      <c r="O6" t="s">
        <v>230</v>
      </c>
      <c r="P6" t="s">
        <v>230</v>
      </c>
    </row>
    <row r="7" spans="1:16" ht="18" customHeight="1">
      <c r="A7" s="29"/>
      <c r="B7" s="29"/>
      <c r="C7" t="s">
        <v>24</v>
      </c>
      <c r="D7">
        <v>5.6958452696878998</v>
      </c>
      <c r="E7" s="22" t="s">
        <v>238</v>
      </c>
      <c r="F7" s="16" t="s">
        <v>25</v>
      </c>
      <c r="G7" s="10" t="s">
        <v>26</v>
      </c>
      <c r="J7" s="22" t="s">
        <v>239</v>
      </c>
      <c r="K7" t="str">
        <v>barium sulfide production</v>
      </c>
      <c r="L7">
        <f t="shared" si="0"/>
        <v>2.78088725012097</v>
      </c>
      <c r="O7" t="s">
        <v>230</v>
      </c>
      <c r="P7" t="s">
        <v>230</v>
      </c>
    </row>
    <row r="8" spans="1:16" ht="16.8" customHeight="1">
      <c r="A8" s="29"/>
      <c r="B8" s="29"/>
      <c r="C8" t="s">
        <v>27</v>
      </c>
      <c r="D8">
        <v>2.78088725012097</v>
      </c>
      <c r="E8" s="22" t="s">
        <v>239</v>
      </c>
      <c r="F8" t="s">
        <v>28</v>
      </c>
      <c r="G8" s="10" t="s">
        <v>29</v>
      </c>
      <c r="J8" s="22" t="s">
        <v>240</v>
      </c>
      <c r="K8" t="str">
        <v>epoxy resin production, liquid</v>
      </c>
      <c r="L8">
        <f t="shared" si="0"/>
        <v>23.771449452943251</v>
      </c>
      <c r="O8" t="s">
        <v>283</v>
      </c>
      <c r="P8" t="s">
        <v>284</v>
      </c>
    </row>
    <row r="9" spans="1:16" ht="19.2" customHeight="1">
      <c r="A9" s="29"/>
      <c r="B9" s="29"/>
      <c r="C9" t="s">
        <v>30</v>
      </c>
      <c r="D9">
        <v>1.0898656096897099</v>
      </c>
      <c r="E9" s="22" t="s">
        <v>240</v>
      </c>
      <c r="F9" t="s">
        <v>31</v>
      </c>
      <c r="G9" s="10" t="s">
        <v>32</v>
      </c>
      <c r="J9" s="22" t="s">
        <v>241</v>
      </c>
      <c r="K9" t="str">
        <v>market for pentane</v>
      </c>
      <c r="L9">
        <f t="shared" si="0"/>
        <v>1.33205796739854</v>
      </c>
      <c r="O9" t="s">
        <v>230</v>
      </c>
      <c r="P9" t="s">
        <v>230</v>
      </c>
    </row>
    <row r="10" spans="1:16" ht="18" customHeight="1">
      <c r="A10" s="29"/>
      <c r="B10" s="29"/>
      <c r="C10" t="s">
        <v>33</v>
      </c>
      <c r="D10">
        <v>1.33205796739854</v>
      </c>
      <c r="E10" s="22" t="s">
        <v>241</v>
      </c>
      <c r="F10" t="s">
        <v>34</v>
      </c>
      <c r="G10" s="10" t="s">
        <v>35</v>
      </c>
      <c r="J10" s="22" t="s">
        <v>242</v>
      </c>
      <c r="K10" t="str">
        <v>bisphenol A epoxy based vinyl ester resin production</v>
      </c>
      <c r="L10">
        <f t="shared" si="0"/>
        <v>9.4320430836194156</v>
      </c>
      <c r="O10" t="s">
        <v>230</v>
      </c>
      <c r="P10" t="s">
        <v>230</v>
      </c>
    </row>
    <row r="11" spans="1:16" ht="16.8" customHeight="1">
      <c r="A11" s="29"/>
      <c r="B11" s="29"/>
      <c r="C11" t="s">
        <v>36</v>
      </c>
      <c r="D11">
        <v>0.85632297904191601</v>
      </c>
      <c r="E11" s="22" t="s">
        <v>242</v>
      </c>
      <c r="F11" t="s">
        <v>37</v>
      </c>
      <c r="G11" s="10" t="s">
        <v>38</v>
      </c>
      <c r="I11" t="s">
        <v>0</v>
      </c>
      <c r="J11" s="22" t="s">
        <v>243</v>
      </c>
      <c r="K11" t="str">
        <v>boron carbide production</v>
      </c>
      <c r="L11">
        <f t="shared" si="0"/>
        <v>4.3248635305147302E-3</v>
      </c>
      <c r="O11" t="s">
        <v>230</v>
      </c>
      <c r="P11" t="s">
        <v>230</v>
      </c>
    </row>
    <row r="12" spans="1:16" ht="15.6" customHeight="1">
      <c r="A12" s="29"/>
      <c r="B12" s="29"/>
      <c r="C12" t="s">
        <v>39</v>
      </c>
      <c r="D12">
        <v>4.3248635305147302E-3</v>
      </c>
      <c r="E12" s="22" t="s">
        <v>243</v>
      </c>
      <c r="F12" t="s">
        <v>40</v>
      </c>
      <c r="G12" s="10" t="s">
        <v>41</v>
      </c>
      <c r="J12" s="22" t="s">
        <v>244</v>
      </c>
      <c r="K12" t="str">
        <v>hydrated lime production, packed</v>
      </c>
      <c r="L12">
        <f t="shared" si="0"/>
        <v>6.3186256180820184</v>
      </c>
      <c r="O12" t="s">
        <v>230</v>
      </c>
      <c r="P12" t="s">
        <v>286</v>
      </c>
    </row>
    <row r="13" spans="1:16" ht="16.2" customHeight="1">
      <c r="A13" s="29"/>
      <c r="B13" s="29"/>
      <c r="C13" t="s">
        <v>42</v>
      </c>
      <c r="D13">
        <v>5.8169414485423099</v>
      </c>
      <c r="E13" s="22" t="s">
        <v>244</v>
      </c>
      <c r="F13" t="s">
        <v>43</v>
      </c>
      <c r="G13" s="10" t="s">
        <v>44</v>
      </c>
      <c r="J13" s="22" t="s">
        <v>245</v>
      </c>
      <c r="K13" t="str">
        <v>chromium production</v>
      </c>
      <c r="L13">
        <f t="shared" si="0"/>
        <v>176.03575557752791</v>
      </c>
      <c r="O13" t="s">
        <v>230</v>
      </c>
      <c r="P13" t="s">
        <v>230</v>
      </c>
    </row>
    <row r="14" spans="1:16" ht="16.8" customHeight="1">
      <c r="A14" s="29"/>
      <c r="B14" s="29"/>
      <c r="C14" t="s">
        <v>45</v>
      </c>
      <c r="D14">
        <v>3.8923771774632597E-2</v>
      </c>
      <c r="E14" s="22" t="s">
        <v>244</v>
      </c>
      <c r="F14" t="s">
        <v>43</v>
      </c>
      <c r="G14" s="10" t="s">
        <v>44</v>
      </c>
      <c r="J14" s="22" t="s">
        <v>246</v>
      </c>
      <c r="K14" t="str">
        <v>copper production, cathode, solvent extraction and electrowinning process</v>
      </c>
      <c r="L14">
        <f t="shared" si="0"/>
        <v>93.694554167700062</v>
      </c>
      <c r="O14" t="s">
        <v>279</v>
      </c>
      <c r="P14" t="s">
        <v>280</v>
      </c>
    </row>
    <row r="15" spans="1:16" ht="13.8" customHeight="1">
      <c r="A15" s="29"/>
      <c r="B15" s="29"/>
      <c r="C15" t="s">
        <v>46</v>
      </c>
      <c r="D15">
        <v>0.46276039776507599</v>
      </c>
      <c r="E15" s="22" t="s">
        <v>244</v>
      </c>
      <c r="F15" t="s">
        <v>43</v>
      </c>
      <c r="G15" s="10" t="s">
        <v>44</v>
      </c>
      <c r="J15" s="22" t="s">
        <v>247</v>
      </c>
      <c r="K15" t="str">
        <v>glass fibre production</v>
      </c>
      <c r="L15">
        <f t="shared" si="0"/>
        <v>16.646399728951188</v>
      </c>
      <c r="O15" t="s">
        <v>230</v>
      </c>
      <c r="P15" t="s">
        <v>230</v>
      </c>
    </row>
    <row r="16" spans="1:16" ht="24" customHeight="1">
      <c r="A16" s="29"/>
      <c r="B16" s="29"/>
      <c r="C16" t="s">
        <v>47</v>
      </c>
      <c r="D16">
        <v>46.544181315399499</v>
      </c>
      <c r="E16" s="22" t="s">
        <v>245</v>
      </c>
      <c r="F16" t="s">
        <v>48</v>
      </c>
      <c r="G16" s="10" t="s">
        <v>49</v>
      </c>
      <c r="J16" s="22" t="s">
        <v>248</v>
      </c>
      <c r="K16" t="str">
        <v>magnesium oxide production</v>
      </c>
      <c r="L16">
        <f t="shared" si="0"/>
        <v>5.8558652203169439</v>
      </c>
      <c r="O16" t="s">
        <v>230</v>
      </c>
      <c r="P16" t="s">
        <v>230</v>
      </c>
    </row>
    <row r="17" spans="1:16" ht="24" customHeight="1">
      <c r="A17" s="29"/>
      <c r="B17" s="29"/>
      <c r="C17" t="s">
        <v>50</v>
      </c>
      <c r="D17">
        <v>5.9942608532934099</v>
      </c>
      <c r="E17" s="22" t="s">
        <v>245</v>
      </c>
      <c r="F17" t="s">
        <v>48</v>
      </c>
      <c r="G17" s="10" t="s">
        <v>49</v>
      </c>
      <c r="J17" s="22" t="s">
        <v>249</v>
      </c>
      <c r="K17" t="str">
        <v>market for 1-methoxy-2-propanol</v>
      </c>
      <c r="L17">
        <f t="shared" si="0"/>
        <v>0.21191831299522201</v>
      </c>
      <c r="O17" t="s">
        <v>283</v>
      </c>
      <c r="P17" t="s">
        <v>284</v>
      </c>
    </row>
    <row r="18" spans="1:16" ht="24" customHeight="1">
      <c r="A18" s="29"/>
      <c r="B18" s="29"/>
      <c r="C18" t="s">
        <v>51</v>
      </c>
      <c r="D18">
        <v>0.56223225896691498</v>
      </c>
      <c r="E18" s="22" t="s">
        <v>246</v>
      </c>
      <c r="F18" t="s">
        <v>52</v>
      </c>
      <c r="G18" s="10" t="s">
        <v>53</v>
      </c>
      <c r="J18" s="22" t="s">
        <v>250</v>
      </c>
      <c r="K18" t="str">
        <v>molybdenum production</v>
      </c>
      <c r="L18">
        <f t="shared" si="0"/>
        <v>9.7222932165971105</v>
      </c>
      <c r="O18" t="s">
        <v>230</v>
      </c>
      <c r="P18" t="s">
        <v>230</v>
      </c>
    </row>
    <row r="19" spans="1:16" ht="24" customHeight="1">
      <c r="A19" s="29"/>
      <c r="B19" s="29"/>
      <c r="C19" t="s">
        <v>54</v>
      </c>
      <c r="D19">
        <v>1.29745905915442E-2</v>
      </c>
      <c r="E19" s="22" t="s">
        <v>246</v>
      </c>
      <c r="F19" t="s">
        <v>52</v>
      </c>
      <c r="G19" s="10" t="s">
        <v>53</v>
      </c>
      <c r="J19" s="22" t="s">
        <v>251</v>
      </c>
      <c r="K19" t="str">
        <v>aluminium production, primary, ingot</v>
      </c>
      <c r="L19">
        <f t="shared" si="0"/>
        <v>1.29745905915442E-2</v>
      </c>
      <c r="O19" t="s">
        <v>281</v>
      </c>
      <c r="P19" t="s">
        <v>282</v>
      </c>
    </row>
    <row r="20" spans="1:16" ht="24" customHeight="1">
      <c r="A20" s="29"/>
      <c r="B20" s="29"/>
      <c r="C20" t="s">
        <v>55</v>
      </c>
      <c r="D20">
        <v>6.9111319217625402</v>
      </c>
      <c r="E20" s="22" t="s">
        <v>246</v>
      </c>
      <c r="F20" t="s">
        <v>52</v>
      </c>
      <c r="G20" s="10" t="s">
        <v>53</v>
      </c>
      <c r="J20" s="21" t="s">
        <v>252</v>
      </c>
      <c r="K20" t="str">
        <v>chemical production, inorganic</v>
      </c>
      <c r="L20">
        <f t="shared" si="0"/>
        <v>1.9980869510978001</v>
      </c>
      <c r="O20" t="s">
        <v>230</v>
      </c>
      <c r="P20" t="s">
        <v>230</v>
      </c>
    </row>
    <row r="21" spans="1:16" ht="24" customHeight="1">
      <c r="A21" s="29"/>
      <c r="B21" s="29"/>
      <c r="C21" t="s">
        <v>56</v>
      </c>
      <c r="D21">
        <v>3.25229737494708</v>
      </c>
      <c r="E21" s="22" t="s">
        <v>247</v>
      </c>
      <c r="F21" t="s">
        <v>57</v>
      </c>
      <c r="G21" s="10" t="s">
        <v>58</v>
      </c>
      <c r="K21">
        <v>0</v>
      </c>
      <c r="L21">
        <f t="shared" si="0"/>
        <v>0</v>
      </c>
    </row>
    <row r="22" spans="1:16" ht="24" customHeight="1">
      <c r="A22" s="29"/>
      <c r="B22" s="29"/>
      <c r="C22" t="s">
        <v>59</v>
      </c>
      <c r="D22">
        <v>6.5391936581382701</v>
      </c>
      <c r="E22" s="22" t="s">
        <v>247</v>
      </c>
      <c r="F22" t="s">
        <v>57</v>
      </c>
      <c r="G22" s="10" t="s">
        <v>58</v>
      </c>
      <c r="J22" s="21" t="s">
        <v>253</v>
      </c>
      <c r="K22" t="str">
        <v>market for palladium</v>
      </c>
      <c r="L22">
        <f t="shared" si="0"/>
        <v>3.45989082441178E-2</v>
      </c>
      <c r="M22" s="11"/>
      <c r="O22" t="s">
        <v>230</v>
      </c>
      <c r="P22" t="s">
        <v>230</v>
      </c>
    </row>
    <row r="23" spans="1:16" ht="24" customHeight="1">
      <c r="A23" s="29"/>
      <c r="B23" s="29"/>
      <c r="C23" t="s">
        <v>10</v>
      </c>
      <c r="D23">
        <v>1.5569508709852999</v>
      </c>
      <c r="E23" s="22" t="s">
        <v>234</v>
      </c>
      <c r="F23" t="s">
        <v>11</v>
      </c>
      <c r="G23" s="10" t="s">
        <v>12</v>
      </c>
      <c r="J23" s="21" t="s">
        <v>254</v>
      </c>
      <c r="K23" t="str">
        <v>phenolic resin production</v>
      </c>
      <c r="L23">
        <f t="shared" si="0"/>
        <v>3.0116144858557701</v>
      </c>
      <c r="M23" s="11"/>
      <c r="O23" t="s">
        <v>283</v>
      </c>
      <c r="P23" t="s">
        <v>284</v>
      </c>
    </row>
    <row r="24" spans="1:16" ht="24" customHeight="1">
      <c r="A24" s="29"/>
      <c r="B24" s="29"/>
      <c r="C24" t="s">
        <v>60</v>
      </c>
      <c r="D24">
        <v>4.6535531588338497</v>
      </c>
      <c r="E24" s="22" t="s">
        <v>248</v>
      </c>
      <c r="F24" t="s">
        <v>90</v>
      </c>
      <c r="G24" s="10" t="s">
        <v>91</v>
      </c>
      <c r="J24" s="21" t="s">
        <v>255</v>
      </c>
      <c r="K24" t="str">
        <v>phosphorous chloride production</v>
      </c>
      <c r="L24">
        <f t="shared" si="0"/>
        <v>1.73950157613787</v>
      </c>
      <c r="M24" s="11"/>
      <c r="O24" t="s">
        <v>230</v>
      </c>
      <c r="P24" t="s">
        <v>230</v>
      </c>
    </row>
    <row r="25" spans="1:16" ht="24" customHeight="1">
      <c r="A25" s="29"/>
      <c r="B25" s="29"/>
      <c r="C25" t="s">
        <v>61</v>
      </c>
      <c r="D25">
        <v>0.76982570843162201</v>
      </c>
      <c r="E25" s="22" t="s">
        <v>248</v>
      </c>
      <c r="F25" t="s">
        <v>90</v>
      </c>
      <c r="G25" s="10" t="s">
        <v>91</v>
      </c>
      <c r="J25" s="21" t="s">
        <v>256</v>
      </c>
      <c r="K25" t="str">
        <v>silicon production, electronics grade</v>
      </c>
      <c r="L25">
        <f t="shared" si="0"/>
        <v>65.821995808084523</v>
      </c>
      <c r="M25" s="11"/>
      <c r="O25" t="s">
        <v>283</v>
      </c>
      <c r="P25" t="s">
        <v>284</v>
      </c>
    </row>
    <row r="26" spans="1:16" ht="24" customHeight="1">
      <c r="A26" s="29"/>
      <c r="B26" s="29"/>
      <c r="C26" t="s">
        <v>62</v>
      </c>
      <c r="D26">
        <v>0.21191831299522201</v>
      </c>
      <c r="E26" s="22" t="s">
        <v>249</v>
      </c>
      <c r="F26" t="s">
        <v>63</v>
      </c>
      <c r="G26" s="10" t="s">
        <v>64</v>
      </c>
      <c r="J26" s="21" t="s">
        <v>257</v>
      </c>
      <c r="K26" t="str">
        <v>market for titanium dioxide</v>
      </c>
      <c r="L26">
        <f t="shared" si="0"/>
        <v>13.242988418928372</v>
      </c>
      <c r="M26" s="11"/>
      <c r="O26" t="s">
        <v>230</v>
      </c>
      <c r="P26" t="s">
        <v>230</v>
      </c>
    </row>
    <row r="27" spans="1:16" ht="24" customHeight="1">
      <c r="A27" s="29"/>
      <c r="B27" s="29"/>
      <c r="C27" t="s">
        <v>65</v>
      </c>
      <c r="D27">
        <v>9.7222932165971105</v>
      </c>
      <c r="E27" s="22" t="s">
        <v>250</v>
      </c>
      <c r="F27" t="s">
        <v>66</v>
      </c>
      <c r="G27" s="10" t="s">
        <v>67</v>
      </c>
      <c r="J27" s="21" t="s">
        <v>258</v>
      </c>
      <c r="K27" t="str">
        <v>triazine-compound production</v>
      </c>
      <c r="L27">
        <f t="shared" si="0"/>
        <v>6.0288597615375306</v>
      </c>
      <c r="M27" s="11"/>
      <c r="O27" t="s">
        <v>230</v>
      </c>
      <c r="P27" t="s">
        <v>230</v>
      </c>
    </row>
    <row r="28" spans="1:16" ht="24" customHeight="1">
      <c r="A28" s="29"/>
      <c r="B28" s="29"/>
      <c r="C28" t="s">
        <v>13</v>
      </c>
      <c r="D28">
        <v>5.4233788672654697</v>
      </c>
      <c r="E28" s="22" t="s">
        <v>235</v>
      </c>
      <c r="F28" t="s">
        <v>14</v>
      </c>
      <c r="G28" s="10" t="s">
        <v>15</v>
      </c>
      <c r="J28" s="21" t="s">
        <v>259</v>
      </c>
      <c r="K28" t="str">
        <v>tungsten mine operation and beneficiation</v>
      </c>
      <c r="L28">
        <f t="shared" si="0"/>
        <v>118.060124655991</v>
      </c>
      <c r="M28" s="11"/>
      <c r="O28" t="s">
        <v>230</v>
      </c>
      <c r="P28" t="s">
        <v>230</v>
      </c>
    </row>
    <row r="29" spans="1:16" ht="24" customHeight="1">
      <c r="A29" s="29"/>
      <c r="B29" s="29"/>
      <c r="C29" t="s">
        <v>68</v>
      </c>
      <c r="D29">
        <v>1.29745905915442E-2</v>
      </c>
      <c r="E29" s="22" t="s">
        <v>251</v>
      </c>
      <c r="F29" t="s">
        <v>69</v>
      </c>
      <c r="G29" s="10" t="s">
        <v>70</v>
      </c>
      <c r="J29" s="21" t="s">
        <v>260</v>
      </c>
      <c r="K29" t="str">
        <v>zinc oxide production</v>
      </c>
      <c r="L29">
        <f t="shared" si="0"/>
        <v>39.267695626202375</v>
      </c>
      <c r="M29" s="11"/>
      <c r="O29" t="s">
        <v>230</v>
      </c>
      <c r="P29" t="s">
        <v>289</v>
      </c>
    </row>
    <row r="30" spans="1:16" ht="24" customHeight="1">
      <c r="A30" s="29"/>
      <c r="B30" s="29"/>
      <c r="C30" t="s">
        <v>71</v>
      </c>
      <c r="D30">
        <v>1.9980869510978001</v>
      </c>
      <c r="E30" s="21" t="s">
        <v>252</v>
      </c>
      <c r="F30" t="s">
        <v>72</v>
      </c>
      <c r="G30" s="10" t="s">
        <v>73</v>
      </c>
      <c r="J30" s="21" t="s">
        <v>261</v>
      </c>
      <c r="K30" t="str">
        <v>market for silver</v>
      </c>
      <c r="L30">
        <f t="shared" si="0"/>
        <v>2.4998050507270482</v>
      </c>
      <c r="M30" s="11"/>
      <c r="O30" t="s">
        <v>230</v>
      </c>
      <c r="P30" t="s">
        <v>230</v>
      </c>
    </row>
    <row r="31" spans="1:16" ht="24" customHeight="1">
      <c r="A31" s="29"/>
      <c r="B31" s="29"/>
      <c r="C31" t="s">
        <v>74</v>
      </c>
      <c r="D31">
        <v>0.14704536003750099</v>
      </c>
      <c r="J31" s="21" t="s">
        <v>262</v>
      </c>
      <c r="K31" t="str">
        <v>tin production</v>
      </c>
      <c r="L31">
        <f t="shared" si="0"/>
        <v>0.286435995395807</v>
      </c>
      <c r="M31" s="11"/>
      <c r="O31" t="s">
        <v>288</v>
      </c>
      <c r="P31" t="s">
        <v>287</v>
      </c>
    </row>
    <row r="32" spans="1:16" ht="24" customHeight="1">
      <c r="A32" s="29"/>
      <c r="B32" s="29"/>
      <c r="C32" t="s">
        <v>75</v>
      </c>
      <c r="D32">
        <v>3.45989082441178E-2</v>
      </c>
      <c r="E32" s="21" t="s">
        <v>253</v>
      </c>
      <c r="F32" t="s">
        <v>76</v>
      </c>
      <c r="G32" s="10" t="s">
        <v>77</v>
      </c>
      <c r="J32" s="21" t="s">
        <v>263</v>
      </c>
      <c r="K32" t="str">
        <v>market for phthalic anhydride</v>
      </c>
      <c r="L32">
        <f t="shared" si="0"/>
        <v>0.30379575269252229</v>
      </c>
      <c r="M32" s="11"/>
      <c r="O32" t="s">
        <v>230</v>
      </c>
      <c r="P32" t="s">
        <v>230</v>
      </c>
    </row>
    <row r="33" spans="1:16" ht="24" customHeight="1">
      <c r="A33" s="29"/>
      <c r="B33" s="29"/>
      <c r="C33" t="s">
        <v>78</v>
      </c>
      <c r="D33">
        <v>1.33205796739854</v>
      </c>
      <c r="E33" s="21" t="s">
        <v>254</v>
      </c>
      <c r="F33" t="s">
        <v>79</v>
      </c>
      <c r="G33" s="10" t="s">
        <v>80</v>
      </c>
      <c r="J33" s="21" t="s">
        <v>264</v>
      </c>
      <c r="K33" t="str">
        <v>market for piperidine</v>
      </c>
      <c r="L33">
        <f t="shared" si="0"/>
        <v>9.9818604456114596E-2</v>
      </c>
      <c r="M33" s="11"/>
      <c r="O33" t="s">
        <v>230</v>
      </c>
      <c r="P33" t="s">
        <v>230</v>
      </c>
    </row>
    <row r="34" spans="1:16" ht="24" customHeight="1">
      <c r="A34" s="29"/>
      <c r="B34" s="29"/>
      <c r="C34" t="s">
        <v>81</v>
      </c>
      <c r="D34">
        <v>0.23354263064779501</v>
      </c>
      <c r="E34" s="21" t="s">
        <v>255</v>
      </c>
      <c r="F34" t="s">
        <v>82</v>
      </c>
      <c r="G34" s="10" t="s">
        <v>83</v>
      </c>
      <c r="J34" s="21" t="s">
        <v>265</v>
      </c>
      <c r="K34" t="str">
        <v>carbon black production</v>
      </c>
      <c r="L34">
        <f t="shared" si="0"/>
        <v>1.7359757296715597</v>
      </c>
      <c r="M34" s="11"/>
      <c r="O34" t="s">
        <v>230</v>
      </c>
      <c r="P34" t="s">
        <v>230</v>
      </c>
    </row>
    <row r="35" spans="1:16" ht="24" customHeight="1">
      <c r="A35" s="29"/>
      <c r="B35" s="29"/>
      <c r="C35" t="s">
        <v>84</v>
      </c>
      <c r="D35">
        <v>0.34598908244117799</v>
      </c>
      <c r="E35" s="22" t="s">
        <v>240</v>
      </c>
      <c r="F35" t="s">
        <v>31</v>
      </c>
      <c r="G35" s="10" t="s">
        <v>32</v>
      </c>
      <c r="J35" s="21" t="s">
        <v>266</v>
      </c>
      <c r="K35" t="str">
        <v>pig iron production</v>
      </c>
      <c r="L35">
        <f t="shared" si="0"/>
        <v>596.43352138258103</v>
      </c>
      <c r="M35" s="11"/>
      <c r="O35" t="s">
        <v>291</v>
      </c>
      <c r="P35" t="s">
        <v>290</v>
      </c>
    </row>
    <row r="36" spans="1:16" ht="24" customHeight="1">
      <c r="A36" s="29"/>
      <c r="B36" s="29"/>
      <c r="C36" t="s">
        <v>85</v>
      </c>
      <c r="D36">
        <v>3.7496566809562699</v>
      </c>
      <c r="E36" s="22" t="s">
        <v>240</v>
      </c>
      <c r="F36" t="s">
        <v>31</v>
      </c>
      <c r="G36" s="10" t="s">
        <v>32</v>
      </c>
      <c r="J36" s="21" t="s">
        <v>267</v>
      </c>
      <c r="K36" t="str">
        <v>manganese production</v>
      </c>
      <c r="L36">
        <f t="shared" si="0"/>
        <v>3.6195093963652001</v>
      </c>
      <c r="M36" s="11"/>
      <c r="O36" t="s">
        <v>230</v>
      </c>
      <c r="P36" t="s">
        <v>230</v>
      </c>
    </row>
    <row r="37" spans="1:16" ht="24" customHeight="1">
      <c r="A37" s="29"/>
      <c r="B37" s="29"/>
      <c r="C37" t="s">
        <v>86</v>
      </c>
      <c r="D37">
        <v>46.6004045412962</v>
      </c>
      <c r="E37" s="21" t="s">
        <v>256</v>
      </c>
      <c r="F37" t="s">
        <v>87</v>
      </c>
      <c r="G37" s="10" t="s">
        <v>88</v>
      </c>
      <c r="J37" s="21" t="s">
        <v>268</v>
      </c>
      <c r="K37" t="str">
        <v>methyl methacrylate production, acetone cyanohydrin process, with ammonium sulfate recovery</v>
      </c>
      <c r="L37">
        <f t="shared" si="0"/>
        <v>0.13887805837372499</v>
      </c>
      <c r="M37" s="11"/>
      <c r="O37" t="s">
        <v>230</v>
      </c>
      <c r="P37" t="s">
        <v>230</v>
      </c>
    </row>
    <row r="38" spans="1:16" ht="24" customHeight="1">
      <c r="A38" s="29"/>
      <c r="B38" s="29"/>
      <c r="C38" t="s">
        <v>89</v>
      </c>
      <c r="D38">
        <v>0.21191831299522201</v>
      </c>
      <c r="E38" s="22" t="s">
        <v>248</v>
      </c>
      <c r="F38" t="s">
        <v>90</v>
      </c>
      <c r="G38" s="10" t="s">
        <v>91</v>
      </c>
      <c r="J38" s="21" t="s">
        <v>269</v>
      </c>
      <c r="K38" t="str">
        <v>sulfur production, petroleum refinery operation</v>
      </c>
      <c r="L38">
        <f t="shared" si="0"/>
        <v>0.230016784181481</v>
      </c>
      <c r="M38" s="11"/>
      <c r="O38" t="s">
        <v>230</v>
      </c>
      <c r="P38" t="s">
        <v>230</v>
      </c>
    </row>
    <row r="39" spans="1:16" ht="24" customHeight="1">
      <c r="A39" s="29"/>
      <c r="B39" s="29"/>
      <c r="C39" t="s">
        <v>92</v>
      </c>
      <c r="D39">
        <v>0.220568040056251</v>
      </c>
      <c r="E39" s="22" t="s">
        <v>248</v>
      </c>
      <c r="F39" t="s">
        <v>90</v>
      </c>
      <c r="G39" s="10" t="s">
        <v>91</v>
      </c>
      <c r="J39" s="21" t="s">
        <v>271</v>
      </c>
      <c r="K39" t="str">
        <v>adhesive production, for metal</v>
      </c>
      <c r="L39">
        <f t="shared" si="0"/>
        <v>0.438333871742069</v>
      </c>
      <c r="M39" s="11"/>
      <c r="O39" t="s">
        <v>230</v>
      </c>
      <c r="P39" t="s">
        <v>230</v>
      </c>
    </row>
    <row r="40" spans="1:16" ht="24" customHeight="1">
      <c r="A40" s="29"/>
      <c r="B40" s="29"/>
      <c r="C40" t="s">
        <v>93</v>
      </c>
      <c r="D40">
        <v>1.8250924098772201</v>
      </c>
      <c r="E40" s="22" t="s">
        <v>240</v>
      </c>
      <c r="F40" t="s">
        <v>31</v>
      </c>
      <c r="G40" s="10" t="s">
        <v>32</v>
      </c>
      <c r="J40" s="21" t="s">
        <v>270</v>
      </c>
      <c r="K40" t="str">
        <v>polytetrafluoroethylene production, emulsion polymerization</v>
      </c>
      <c r="L40">
        <f t="shared" si="0"/>
        <v>4.8043128318660404</v>
      </c>
      <c r="M40" s="11" t="s">
        <v>232</v>
      </c>
      <c r="O40" t="s">
        <v>283</v>
      </c>
      <c r="P40" t="s">
        <v>284</v>
      </c>
    </row>
    <row r="41" spans="1:16" ht="24" customHeight="1">
      <c r="A41" s="29"/>
      <c r="B41" s="29"/>
      <c r="C41" t="s">
        <v>94</v>
      </c>
      <c r="D41">
        <v>1.53532655333273</v>
      </c>
      <c r="E41" s="21" t="s">
        <v>257</v>
      </c>
      <c r="F41" t="s">
        <v>95</v>
      </c>
      <c r="G41" s="10" t="s">
        <v>96</v>
      </c>
      <c r="J41" s="21" t="s">
        <v>272</v>
      </c>
      <c r="K41" t="str">
        <v>cobalt production</v>
      </c>
      <c r="L41">
        <f t="shared" si="0"/>
        <v>0.147557937022082</v>
      </c>
      <c r="M41" s="11"/>
      <c r="O41" t="s">
        <v>230</v>
      </c>
      <c r="P41" t="s">
        <v>230</v>
      </c>
    </row>
    <row r="42" spans="1:16" ht="24" customHeight="1">
      <c r="A42" s="29"/>
      <c r="B42" s="29"/>
      <c r="C42" t="s">
        <v>97</v>
      </c>
      <c r="D42">
        <v>11.6338828970846</v>
      </c>
      <c r="E42" s="21" t="s">
        <v>257</v>
      </c>
      <c r="F42" t="s">
        <v>95</v>
      </c>
      <c r="G42" s="10" t="s">
        <v>96</v>
      </c>
      <c r="J42" s="21" t="s">
        <v>273</v>
      </c>
      <c r="K42" t="str">
        <v>calcium carbonate production, precipitated</v>
      </c>
      <c r="L42">
        <f t="shared" si="0"/>
        <v>0.27341617742327001</v>
      </c>
      <c r="M42" s="11"/>
      <c r="O42" t="s">
        <v>230</v>
      </c>
      <c r="P42" t="s">
        <v>230</v>
      </c>
    </row>
    <row r="43" spans="1:16" ht="24" customHeight="1">
      <c r="A43" s="29"/>
      <c r="B43" s="29"/>
      <c r="C43" t="s">
        <v>98</v>
      </c>
      <c r="D43">
        <v>2.4219235770882501</v>
      </c>
      <c r="E43" s="21" t="s">
        <v>258</v>
      </c>
      <c r="F43" t="s">
        <v>99</v>
      </c>
      <c r="G43" s="10" t="s">
        <v>100</v>
      </c>
      <c r="J43" s="21" t="s">
        <v>274</v>
      </c>
      <c r="K43" t="str">
        <v>market for nitrile-compound</v>
      </c>
      <c r="L43">
        <f t="shared" si="0"/>
        <v>0.61627138403340298</v>
      </c>
      <c r="M43" s="11"/>
      <c r="O43" t="s">
        <v>230</v>
      </c>
      <c r="P43" t="s">
        <v>230</v>
      </c>
    </row>
    <row r="44" spans="1:16" ht="24" customHeight="1">
      <c r="A44" s="29"/>
      <c r="B44" s="29"/>
      <c r="C44" t="s">
        <v>101</v>
      </c>
      <c r="D44">
        <v>118.060124655991</v>
      </c>
      <c r="E44" s="21" t="s">
        <v>259</v>
      </c>
      <c r="F44" t="s">
        <v>102</v>
      </c>
      <c r="G44" s="10" t="s">
        <v>103</v>
      </c>
      <c r="J44" s="21" t="s">
        <v>275</v>
      </c>
      <c r="K44" t="str">
        <v>silicon tetrachloride production</v>
      </c>
      <c r="L44">
        <f t="shared" si="0"/>
        <v>0.12151830107700901</v>
      </c>
      <c r="M44" s="11"/>
      <c r="O44" t="s">
        <v>283</v>
      </c>
      <c r="P44" t="s">
        <v>284</v>
      </c>
    </row>
    <row r="45" spans="1:16" ht="18" customHeight="1">
      <c r="A45" s="29"/>
      <c r="B45" s="29"/>
      <c r="C45" t="s">
        <v>104</v>
      </c>
      <c r="D45">
        <v>2.16243176525736E-2</v>
      </c>
      <c r="E45" s="21" t="s">
        <v>260</v>
      </c>
      <c r="F45" t="s">
        <v>187</v>
      </c>
      <c r="G45" s="10" t="s">
        <v>188</v>
      </c>
      <c r="J45" s="21" t="s">
        <v>276</v>
      </c>
      <c r="K45" t="str">
        <v>ethylene oxide production, ethylene oxidation</v>
      </c>
      <c r="L45">
        <f t="shared" si="0"/>
        <v>0.12151830107700901</v>
      </c>
      <c r="O45" t="s">
        <v>283</v>
      </c>
      <c r="P45" t="s">
        <v>284</v>
      </c>
    </row>
    <row r="46" spans="1:16" ht="18" customHeight="1">
      <c r="A46" s="29"/>
      <c r="B46" s="15" t="s">
        <v>105</v>
      </c>
      <c r="C46" t="s">
        <v>51</v>
      </c>
      <c r="D46">
        <v>34.957871917150499</v>
      </c>
      <c r="E46" s="22" t="s">
        <v>246</v>
      </c>
      <c r="F46" t="s">
        <v>52</v>
      </c>
      <c r="G46" s="10" t="s">
        <v>53</v>
      </c>
      <c r="L46">
        <f>SUM(L2:L45)</f>
        <v>2358.4935888960954</v>
      </c>
    </row>
    <row r="47" spans="1:16" ht="18" customHeight="1">
      <c r="A47" s="29"/>
      <c r="B47" s="29" t="s">
        <v>106</v>
      </c>
      <c r="C47" t="s">
        <v>107</v>
      </c>
      <c r="D47">
        <v>3.9702247210125199</v>
      </c>
      <c r="E47" s="22" t="s">
        <v>237</v>
      </c>
      <c r="F47" t="s">
        <v>21</v>
      </c>
      <c r="G47" s="10" t="s">
        <v>22</v>
      </c>
    </row>
    <row r="48" spans="1:16" ht="18" customHeight="1">
      <c r="A48" s="29"/>
      <c r="B48" s="29"/>
      <c r="C48" t="s">
        <v>108</v>
      </c>
      <c r="D48">
        <v>3.60693618444928</v>
      </c>
      <c r="E48" s="21" t="s">
        <v>258</v>
      </c>
      <c r="F48" t="s">
        <v>99</v>
      </c>
      <c r="G48" s="10" t="s">
        <v>100</v>
      </c>
    </row>
    <row r="49" spans="1:8" ht="18" customHeight="1">
      <c r="A49" s="29"/>
      <c r="B49" s="29"/>
      <c r="C49" t="s">
        <v>109</v>
      </c>
      <c r="D49">
        <v>6.8549086958658396</v>
      </c>
      <c r="E49" s="22" t="s">
        <v>247</v>
      </c>
      <c r="F49" t="s">
        <v>57</v>
      </c>
      <c r="G49" s="10" t="s">
        <v>58</v>
      </c>
    </row>
    <row r="50" spans="1:8" ht="18" customHeight="1">
      <c r="A50" s="29" t="s">
        <v>110</v>
      </c>
      <c r="B50" s="29" t="s">
        <v>111</v>
      </c>
      <c r="C50" t="s">
        <v>51</v>
      </c>
      <c r="D50">
        <v>6.0759150538504503E-2</v>
      </c>
      <c r="E50" s="22" t="s">
        <v>246</v>
      </c>
      <c r="F50" t="s">
        <v>52</v>
      </c>
      <c r="G50" s="10" t="s">
        <v>53</v>
      </c>
    </row>
    <row r="51" spans="1:8" ht="18" customHeight="1">
      <c r="A51" s="29"/>
      <c r="B51" s="29"/>
      <c r="C51" t="s">
        <v>112</v>
      </c>
      <c r="D51">
        <v>8.6798786483577896E-3</v>
      </c>
      <c r="E51" s="21" t="s">
        <v>261</v>
      </c>
      <c r="F51" t="s">
        <v>113</v>
      </c>
      <c r="G51" s="10" t="s">
        <v>114</v>
      </c>
    </row>
    <row r="52" spans="1:8" ht="18" customHeight="1">
      <c r="A52" s="29"/>
      <c r="B52" s="29"/>
      <c r="C52" t="s">
        <v>115</v>
      </c>
      <c r="D52">
        <v>0.286435995395807</v>
      </c>
      <c r="E52" s="21" t="s">
        <v>262</v>
      </c>
      <c r="F52" t="s">
        <v>116</v>
      </c>
      <c r="G52" s="10" t="s">
        <v>117</v>
      </c>
    </row>
    <row r="53" spans="1:8" ht="18" customHeight="1">
      <c r="A53" s="29"/>
      <c r="B53" s="29" t="s">
        <v>118</v>
      </c>
      <c r="C53" t="s">
        <v>119</v>
      </c>
      <c r="D53">
        <v>0.143217997697904</v>
      </c>
      <c r="E53" s="22" t="s">
        <v>240</v>
      </c>
      <c r="F53" t="s">
        <v>31</v>
      </c>
      <c r="G53" s="10" t="s">
        <v>32</v>
      </c>
    </row>
    <row r="54" spans="1:8" ht="18" customHeight="1">
      <c r="A54" s="29"/>
      <c r="B54" s="29"/>
      <c r="C54" t="s">
        <v>120</v>
      </c>
      <c r="D54">
        <v>3.03795752692523E-2</v>
      </c>
      <c r="E54" s="21" t="s">
        <v>263</v>
      </c>
      <c r="F54" s="16" t="s">
        <v>121</v>
      </c>
      <c r="G54" s="10" t="s">
        <v>122</v>
      </c>
      <c r="H54" s="10" t="s">
        <v>123</v>
      </c>
    </row>
    <row r="55" spans="1:8" ht="18" customHeight="1">
      <c r="A55" s="29"/>
      <c r="B55" s="29"/>
      <c r="C55" t="s">
        <v>124</v>
      </c>
      <c r="D55">
        <v>9.9818604456114596E-2</v>
      </c>
      <c r="E55" s="21" t="s">
        <v>264</v>
      </c>
      <c r="F55" t="s">
        <v>125</v>
      </c>
      <c r="G55" s="10" t="s">
        <v>126</v>
      </c>
      <c r="H55" s="10" t="s">
        <v>127</v>
      </c>
    </row>
    <row r="56" spans="1:8" ht="18" customHeight="1">
      <c r="A56" s="29"/>
      <c r="B56" s="29"/>
      <c r="C56" t="s">
        <v>128</v>
      </c>
      <c r="D56">
        <v>1.30198179725367E-2</v>
      </c>
    </row>
    <row r="57" spans="1:8" ht="18" customHeight="1">
      <c r="A57" s="29"/>
      <c r="B57" s="29"/>
      <c r="C57" t="s">
        <v>129</v>
      </c>
      <c r="D57">
        <v>5.6419211214325603E-2</v>
      </c>
      <c r="E57" s="22" t="s">
        <v>242</v>
      </c>
      <c r="F57" t="s">
        <v>37</v>
      </c>
      <c r="G57" s="10" t="s">
        <v>38</v>
      </c>
    </row>
    <row r="58" spans="1:8" ht="18" customHeight="1">
      <c r="A58" s="29"/>
      <c r="B58" s="29"/>
      <c r="C58" t="s">
        <v>130</v>
      </c>
      <c r="D58">
        <v>0.143217997697904</v>
      </c>
      <c r="E58" s="22" t="s">
        <v>242</v>
      </c>
      <c r="F58" t="s">
        <v>37</v>
      </c>
      <c r="G58" s="10" t="s">
        <v>131</v>
      </c>
    </row>
    <row r="59" spans="1:8" ht="18" customHeight="1">
      <c r="A59" s="29"/>
      <c r="B59" s="29"/>
      <c r="C59" t="s">
        <v>132</v>
      </c>
      <c r="D59">
        <v>1.30198179725367E-2</v>
      </c>
      <c r="E59" s="21" t="s">
        <v>265</v>
      </c>
      <c r="F59" t="s">
        <v>133</v>
      </c>
      <c r="G59" s="10" t="s">
        <v>134</v>
      </c>
    </row>
    <row r="60" spans="1:8" ht="18" customHeight="1">
      <c r="A60" s="29"/>
      <c r="B60" s="29"/>
      <c r="C60" t="s">
        <v>86</v>
      </c>
      <c r="D60">
        <v>0.93308695469846203</v>
      </c>
      <c r="E60" s="21" t="s">
        <v>256</v>
      </c>
      <c r="F60" t="s">
        <v>87</v>
      </c>
      <c r="G60" s="10" t="s">
        <v>88</v>
      </c>
    </row>
    <row r="61" spans="1:8" ht="18" customHeight="1">
      <c r="A61" s="29" t="s">
        <v>160</v>
      </c>
      <c r="B61" s="29" t="s">
        <v>160</v>
      </c>
      <c r="C61" t="s">
        <v>161</v>
      </c>
      <c r="D61">
        <v>0.15623781567044001</v>
      </c>
      <c r="E61" s="22" t="s">
        <v>238</v>
      </c>
      <c r="F61" s="16" t="s">
        <v>25</v>
      </c>
      <c r="G61" s="10" t="s">
        <v>26</v>
      </c>
    </row>
    <row r="62" spans="1:8" ht="18" customHeight="1">
      <c r="A62" s="29"/>
      <c r="B62" s="29"/>
      <c r="C62" t="s">
        <v>162</v>
      </c>
      <c r="D62">
        <v>1.40180040170978</v>
      </c>
      <c r="E62" s="21" t="s">
        <v>256</v>
      </c>
      <c r="F62" t="s">
        <v>87</v>
      </c>
      <c r="G62" s="10" t="s">
        <v>88</v>
      </c>
    </row>
    <row r="63" spans="1:8" ht="18" customHeight="1">
      <c r="A63" s="29"/>
      <c r="B63" s="29" t="s">
        <v>163</v>
      </c>
      <c r="C63" t="s">
        <v>51</v>
      </c>
      <c r="D63">
        <v>45.981657139675399</v>
      </c>
      <c r="E63" s="22" t="s">
        <v>246</v>
      </c>
      <c r="F63" t="s">
        <v>52</v>
      </c>
      <c r="G63" s="10" t="s">
        <v>53</v>
      </c>
    </row>
    <row r="64" spans="1:8" ht="18" customHeight="1">
      <c r="A64" s="29"/>
      <c r="B64" s="29"/>
      <c r="C64" t="s">
        <v>164</v>
      </c>
      <c r="D64">
        <v>24.7593538444406</v>
      </c>
      <c r="E64" s="21" t="s">
        <v>260</v>
      </c>
      <c r="F64" t="s">
        <v>187</v>
      </c>
      <c r="G64" s="10" t="s">
        <v>188</v>
      </c>
    </row>
    <row r="65" spans="1:9" ht="18" customHeight="1">
      <c r="A65" s="29"/>
      <c r="B65" s="29" t="s">
        <v>165</v>
      </c>
      <c r="C65" t="s">
        <v>10</v>
      </c>
      <c r="D65">
        <v>2.60396359450734E-2</v>
      </c>
      <c r="E65" s="22" t="s">
        <v>234</v>
      </c>
      <c r="F65" t="s">
        <v>11</v>
      </c>
      <c r="G65" s="10" t="s">
        <v>12</v>
      </c>
      <c r="H65"/>
      <c r="I65" t="s">
        <v>166</v>
      </c>
    </row>
    <row r="66" spans="1:9" ht="18" customHeight="1">
      <c r="A66" s="29"/>
      <c r="B66" s="29"/>
      <c r="C66" t="s">
        <v>13</v>
      </c>
      <c r="D66">
        <v>2.3218675384357099</v>
      </c>
      <c r="E66" s="22" t="s">
        <v>235</v>
      </c>
      <c r="F66" t="s">
        <v>14</v>
      </c>
      <c r="G66" s="10" t="s">
        <v>15</v>
      </c>
    </row>
    <row r="67" spans="1:9" ht="18" customHeight="1">
      <c r="A67" s="29"/>
      <c r="B67" s="29"/>
      <c r="C67" t="s">
        <v>81</v>
      </c>
      <c r="D67">
        <v>1.28896197928113</v>
      </c>
      <c r="E67" s="21" t="s">
        <v>255</v>
      </c>
      <c r="F67" t="s">
        <v>82</v>
      </c>
      <c r="G67" s="10" t="s">
        <v>83</v>
      </c>
    </row>
    <row r="68" spans="1:9" ht="18" customHeight="1">
      <c r="A68" s="29"/>
      <c r="B68" s="29" t="s">
        <v>167</v>
      </c>
      <c r="C68" t="s">
        <v>168</v>
      </c>
      <c r="D68">
        <v>7.3778968511041196E-2</v>
      </c>
      <c r="E68" s="22" t="s">
        <v>240</v>
      </c>
      <c r="F68" t="s">
        <v>31</v>
      </c>
      <c r="G68" s="10" t="s">
        <v>32</v>
      </c>
      <c r="H68" s="10" t="s">
        <v>169</v>
      </c>
    </row>
    <row r="69" spans="1:9" ht="18" customHeight="1">
      <c r="A69" s="29"/>
      <c r="B69" s="29"/>
      <c r="C69" t="s">
        <v>170</v>
      </c>
      <c r="D69">
        <v>8.3760828956652702</v>
      </c>
      <c r="E69" s="22" t="s">
        <v>242</v>
      </c>
      <c r="F69" t="s">
        <v>37</v>
      </c>
      <c r="G69" s="10" t="s">
        <v>38</v>
      </c>
    </row>
    <row r="70" spans="1:9" ht="18" customHeight="1">
      <c r="A70" s="29"/>
      <c r="B70" s="29"/>
      <c r="C70" t="s">
        <v>171</v>
      </c>
      <c r="D70">
        <v>0.36021496390684798</v>
      </c>
      <c r="E70" s="21" t="s">
        <v>265</v>
      </c>
      <c r="F70" t="s">
        <v>133</v>
      </c>
      <c r="G70" s="10" t="s">
        <v>134</v>
      </c>
    </row>
    <row r="71" spans="1:9" ht="18" customHeight="1">
      <c r="A71" s="29"/>
      <c r="B71" s="29"/>
      <c r="C71" t="s">
        <v>132</v>
      </c>
      <c r="D71">
        <v>0.13887805837372499</v>
      </c>
      <c r="E71" s="21" t="s">
        <v>265</v>
      </c>
      <c r="F71" t="s">
        <v>133</v>
      </c>
      <c r="G71" s="10" t="s">
        <v>172</v>
      </c>
    </row>
    <row r="72" spans="1:9" ht="18" customHeight="1">
      <c r="A72" s="29"/>
      <c r="B72" s="29"/>
      <c r="C72" t="s">
        <v>173</v>
      </c>
      <c r="D72">
        <v>123.497313408835</v>
      </c>
      <c r="E72" s="22" t="s">
        <v>245</v>
      </c>
      <c r="F72" t="s">
        <v>48</v>
      </c>
      <c r="G72" s="10" t="s">
        <v>49</v>
      </c>
    </row>
    <row r="73" spans="1:9" ht="18" customHeight="1">
      <c r="A73" s="29"/>
      <c r="B73" s="29"/>
      <c r="C73" t="s">
        <v>10</v>
      </c>
      <c r="D73">
        <v>2.60396359450734E-2</v>
      </c>
      <c r="E73" s="22" t="s">
        <v>234</v>
      </c>
      <c r="F73" t="s">
        <v>11</v>
      </c>
      <c r="G73" s="10" t="s">
        <v>12</v>
      </c>
    </row>
    <row r="74" spans="1:9" ht="18" customHeight="1">
      <c r="A74" s="29"/>
      <c r="B74" s="29"/>
      <c r="C74" t="s">
        <v>174</v>
      </c>
      <c r="D74">
        <v>596.43352138258103</v>
      </c>
      <c r="E74" s="21" t="s">
        <v>266</v>
      </c>
      <c r="F74" t="s">
        <v>175</v>
      </c>
      <c r="G74" s="10" t="s">
        <v>176</v>
      </c>
    </row>
    <row r="75" spans="1:9" ht="18" customHeight="1">
      <c r="A75" s="29"/>
      <c r="B75" s="29"/>
      <c r="C75" t="s">
        <v>177</v>
      </c>
      <c r="D75">
        <v>3.6195093963652001</v>
      </c>
      <c r="E75" s="21" t="s">
        <v>267</v>
      </c>
      <c r="F75" t="s">
        <v>178</v>
      </c>
      <c r="G75" s="10" t="s">
        <v>179</v>
      </c>
    </row>
    <row r="76" spans="1:9" ht="18" customHeight="1">
      <c r="A76" s="29"/>
      <c r="B76" s="29"/>
      <c r="C76" t="s">
        <v>180</v>
      </c>
      <c r="D76">
        <v>0.13887805837372499</v>
      </c>
      <c r="E76" s="21" t="s">
        <v>268</v>
      </c>
      <c r="F76" t="s">
        <v>181</v>
      </c>
      <c r="G76" s="10" t="s">
        <v>182</v>
      </c>
    </row>
    <row r="77" spans="1:9" ht="18" customHeight="1">
      <c r="A77" s="29"/>
      <c r="B77" s="29"/>
      <c r="C77" t="s">
        <v>13</v>
      </c>
      <c r="D77">
        <v>0.112838422428651</v>
      </c>
      <c r="E77" s="22" t="s">
        <v>235</v>
      </c>
      <c r="F77" t="s">
        <v>14</v>
      </c>
      <c r="G77" s="10" t="s">
        <v>15</v>
      </c>
    </row>
    <row r="78" spans="1:9" ht="18" customHeight="1">
      <c r="A78" s="29"/>
      <c r="B78" s="29"/>
      <c r="C78" t="s">
        <v>81</v>
      </c>
      <c r="D78">
        <v>0.21699696620894501</v>
      </c>
      <c r="E78" s="21" t="s">
        <v>255</v>
      </c>
      <c r="F78" t="s">
        <v>82</v>
      </c>
      <c r="G78" s="10" t="s">
        <v>83</v>
      </c>
    </row>
    <row r="79" spans="1:9" ht="18" customHeight="1">
      <c r="A79" s="29"/>
      <c r="B79" s="29"/>
      <c r="C79" t="s">
        <v>137</v>
      </c>
      <c r="D79">
        <v>2.1873294193861601</v>
      </c>
      <c r="E79" s="21" t="s">
        <v>256</v>
      </c>
      <c r="F79" t="s">
        <v>87</v>
      </c>
      <c r="G79" s="10" t="s">
        <v>88</v>
      </c>
    </row>
    <row r="80" spans="1:9" ht="18" customHeight="1">
      <c r="A80" s="29"/>
      <c r="B80" s="29"/>
      <c r="C80" t="s">
        <v>183</v>
      </c>
      <c r="D80">
        <v>0.230016784181481</v>
      </c>
      <c r="E80" s="21" t="s">
        <v>269</v>
      </c>
      <c r="F80" t="s">
        <v>184</v>
      </c>
      <c r="G80" s="10" t="s">
        <v>185</v>
      </c>
    </row>
    <row r="81" spans="1:8" ht="18" customHeight="1">
      <c r="A81" s="29"/>
      <c r="B81" s="29"/>
      <c r="C81" t="s">
        <v>186</v>
      </c>
      <c r="D81">
        <v>14.4867174641092</v>
      </c>
      <c r="F81" t="s">
        <v>187</v>
      </c>
      <c r="G81" s="10" t="s">
        <v>188</v>
      </c>
    </row>
    <row r="82" spans="1:8" ht="18" customHeight="1">
      <c r="A82" s="29"/>
      <c r="B82" s="29" t="s">
        <v>189</v>
      </c>
      <c r="C82" t="s">
        <v>132</v>
      </c>
      <c r="D82">
        <v>1.22386288941845</v>
      </c>
      <c r="E82" s="21" t="s">
        <v>265</v>
      </c>
      <c r="F82" t="s">
        <v>133</v>
      </c>
      <c r="G82" s="10" t="s">
        <v>172</v>
      </c>
    </row>
    <row r="83" spans="1:8" ht="18" customHeight="1">
      <c r="A83" s="29"/>
      <c r="B83" s="29"/>
      <c r="C83" t="s">
        <v>190</v>
      </c>
      <c r="D83">
        <v>0.438333871742069</v>
      </c>
      <c r="E83" s="21" t="s">
        <v>271</v>
      </c>
      <c r="F83" t="s">
        <v>147</v>
      </c>
      <c r="G83" s="10" t="s">
        <v>148</v>
      </c>
      <c r="H83" s="10" t="s">
        <v>191</v>
      </c>
    </row>
    <row r="84" spans="1:8" ht="18" customHeight="1">
      <c r="A84" s="29"/>
      <c r="B84" s="29"/>
      <c r="C84" t="s">
        <v>192</v>
      </c>
      <c r="D84">
        <v>1.55369827805604</v>
      </c>
      <c r="E84" s="22" t="s">
        <v>240</v>
      </c>
      <c r="F84" t="s">
        <v>31</v>
      </c>
      <c r="G84" s="10" t="s">
        <v>32</v>
      </c>
    </row>
    <row r="85" spans="1:8" ht="18" customHeight="1">
      <c r="A85" s="29"/>
      <c r="B85" s="29"/>
      <c r="C85" t="s">
        <v>158</v>
      </c>
      <c r="D85">
        <v>8.0419075677034897</v>
      </c>
      <c r="E85" s="22" t="s">
        <v>240</v>
      </c>
      <c r="F85" t="s">
        <v>31</v>
      </c>
      <c r="G85" s="10" t="s">
        <v>32</v>
      </c>
    </row>
    <row r="86" spans="1:8" ht="18" customHeight="1">
      <c r="A86" s="29"/>
      <c r="B86" s="29"/>
      <c r="C86" t="s">
        <v>193</v>
      </c>
      <c r="D86">
        <v>1.6795565184572301</v>
      </c>
      <c r="E86" s="22" t="s">
        <v>237</v>
      </c>
      <c r="F86" t="s">
        <v>21</v>
      </c>
      <c r="G86" s="10" t="s">
        <v>22</v>
      </c>
      <c r="H86" s="10" t="s">
        <v>194</v>
      </c>
    </row>
    <row r="87" spans="1:8" ht="18" customHeight="1">
      <c r="A87" s="29"/>
      <c r="B87" s="29"/>
      <c r="C87" t="s">
        <v>195</v>
      </c>
      <c r="D87">
        <v>0</v>
      </c>
    </row>
    <row r="88" spans="1:8" ht="18" customHeight="1">
      <c r="A88" s="29"/>
      <c r="B88" s="29"/>
      <c r="C88" t="s">
        <v>74</v>
      </c>
      <c r="D88">
        <v>0.55985217281907795</v>
      </c>
    </row>
    <row r="89" spans="1:8" ht="18" customHeight="1">
      <c r="A89" s="29"/>
      <c r="B89" s="29"/>
      <c r="C89" t="s">
        <v>196</v>
      </c>
      <c r="D89">
        <v>4.8043128318660404</v>
      </c>
      <c r="E89" s="21" t="s">
        <v>270</v>
      </c>
      <c r="F89" t="s">
        <v>197</v>
      </c>
      <c r="G89" s="10" t="s">
        <v>198</v>
      </c>
    </row>
    <row r="90" spans="1:8" ht="18" customHeight="1">
      <c r="A90" s="29"/>
      <c r="B90" s="29"/>
      <c r="C90" t="s">
        <v>199</v>
      </c>
      <c r="D90">
        <v>2.23940869127631</v>
      </c>
      <c r="E90" s="22" t="s">
        <v>240</v>
      </c>
      <c r="F90" t="s">
        <v>31</v>
      </c>
      <c r="G90" s="10" t="s">
        <v>32</v>
      </c>
    </row>
    <row r="91" spans="1:8" ht="18" customHeight="1">
      <c r="A91" s="29"/>
      <c r="B91" s="29"/>
      <c r="C91" t="s">
        <v>200</v>
      </c>
      <c r="D91">
        <v>1.6795565184572301</v>
      </c>
      <c r="E91" s="21" t="s">
        <v>254</v>
      </c>
      <c r="F91" s="16" t="s">
        <v>79</v>
      </c>
      <c r="G91" s="10" t="s">
        <v>201</v>
      </c>
    </row>
    <row r="92" spans="1:8" ht="18" customHeight="1">
      <c r="A92" s="29"/>
      <c r="B92" s="29"/>
      <c r="C92" t="s">
        <v>202</v>
      </c>
      <c r="D92">
        <v>39.020394463692398</v>
      </c>
      <c r="E92" s="22" t="s">
        <v>238</v>
      </c>
      <c r="F92" s="16" t="s">
        <v>25</v>
      </c>
      <c r="G92" s="10" t="s">
        <v>26</v>
      </c>
    </row>
    <row r="93" spans="1:8" ht="18" customHeight="1">
      <c r="A93" s="29"/>
      <c r="B93" s="29"/>
      <c r="C93" t="s">
        <v>203</v>
      </c>
      <c r="D93">
        <v>49.549087264150501</v>
      </c>
      <c r="E93" s="22" t="s">
        <v>238</v>
      </c>
      <c r="F93" s="16" t="s">
        <v>25</v>
      </c>
      <c r="G93" s="10" t="s">
        <v>26</v>
      </c>
    </row>
    <row r="94" spans="1:8" ht="18" customHeight="1">
      <c r="A94" s="29"/>
      <c r="B94" s="29"/>
      <c r="C94" t="s">
        <v>204</v>
      </c>
      <c r="D94">
        <v>7.7598115116318596</v>
      </c>
      <c r="E94" s="21" t="s">
        <v>256</v>
      </c>
      <c r="F94" t="s">
        <v>87</v>
      </c>
      <c r="G94" s="10" t="s">
        <v>88</v>
      </c>
    </row>
    <row r="95" spans="1:8" ht="18" customHeight="1">
      <c r="A95" s="29"/>
      <c r="B95" s="29"/>
      <c r="C95" t="s">
        <v>161</v>
      </c>
      <c r="D95">
        <v>1.78805500156171</v>
      </c>
      <c r="E95" s="21" t="s">
        <v>256</v>
      </c>
      <c r="F95" t="s">
        <v>87</v>
      </c>
      <c r="G95" s="10" t="s">
        <v>88</v>
      </c>
    </row>
    <row r="96" spans="1:8" ht="18" customHeight="1">
      <c r="A96" s="29"/>
      <c r="B96" s="29"/>
      <c r="C96" t="s">
        <v>112</v>
      </c>
      <c r="D96">
        <v>2.4911251720786902</v>
      </c>
      <c r="E96" s="21" t="s">
        <v>261</v>
      </c>
      <c r="F96" t="s">
        <v>113</v>
      </c>
      <c r="G96" s="10" t="s">
        <v>205</v>
      </c>
    </row>
    <row r="97" spans="1:8" ht="18" customHeight="1">
      <c r="A97" s="29"/>
      <c r="B97" s="29"/>
      <c r="C97" t="s">
        <v>206</v>
      </c>
      <c r="D97">
        <v>1.55369827805604</v>
      </c>
      <c r="E97" s="22" t="s">
        <v>240</v>
      </c>
      <c r="F97" t="s">
        <v>31</v>
      </c>
      <c r="G97" s="10" t="s">
        <v>32</v>
      </c>
    </row>
    <row r="98" spans="1:8" ht="18" customHeight="1">
      <c r="A98" s="29"/>
      <c r="B98" s="29"/>
      <c r="C98" t="s">
        <v>207</v>
      </c>
      <c r="D98">
        <v>1.55369827805604</v>
      </c>
      <c r="E98" s="22" t="s">
        <v>240</v>
      </c>
      <c r="F98" t="s">
        <v>31</v>
      </c>
      <c r="G98" s="10" t="s">
        <v>32</v>
      </c>
    </row>
    <row r="99" spans="1:8" ht="18" customHeight="1">
      <c r="A99" s="29"/>
      <c r="B99" s="29"/>
      <c r="C99" t="s">
        <v>94</v>
      </c>
      <c r="D99">
        <v>7.3778968511041196E-2</v>
      </c>
      <c r="E99" s="21" t="s">
        <v>257</v>
      </c>
      <c r="F99" t="s">
        <v>95</v>
      </c>
      <c r="G99" s="10" t="s">
        <v>96</v>
      </c>
    </row>
    <row r="100" spans="1:8" ht="18" customHeight="1">
      <c r="A100" s="29"/>
      <c r="B100" s="29" t="s">
        <v>208</v>
      </c>
      <c r="C100" t="s">
        <v>140</v>
      </c>
      <c r="D100">
        <v>0.147557937022082</v>
      </c>
      <c r="E100" s="21" t="s">
        <v>272</v>
      </c>
      <c r="F100" t="s">
        <v>141</v>
      </c>
      <c r="G100" s="10" t="s">
        <v>142</v>
      </c>
    </row>
    <row r="101" spans="1:8" ht="18" customHeight="1">
      <c r="A101" s="29"/>
      <c r="B101" s="29"/>
      <c r="C101" t="s">
        <v>10</v>
      </c>
      <c r="D101">
        <v>0.22133690553312399</v>
      </c>
      <c r="E101" s="22" t="s">
        <v>234</v>
      </c>
      <c r="F101" t="s">
        <v>11</v>
      </c>
      <c r="G101" s="10" t="s">
        <v>12</v>
      </c>
    </row>
    <row r="102" spans="1:8" ht="18" customHeight="1">
      <c r="A102" s="29"/>
      <c r="B102" s="29"/>
      <c r="C102" t="s">
        <v>195</v>
      </c>
      <c r="D102">
        <v>0</v>
      </c>
    </row>
    <row r="103" spans="1:8" ht="18" customHeight="1">
      <c r="A103" s="29"/>
      <c r="B103" s="29"/>
      <c r="C103" t="s">
        <v>13</v>
      </c>
      <c r="D103">
        <v>0.65099089862683401</v>
      </c>
      <c r="E103" s="22" t="s">
        <v>235</v>
      </c>
      <c r="F103" t="s">
        <v>14</v>
      </c>
      <c r="G103" s="10" t="s">
        <v>15</v>
      </c>
    </row>
    <row r="104" spans="1:8" ht="18" customHeight="1">
      <c r="A104" s="29" t="s">
        <v>209</v>
      </c>
      <c r="B104" s="29" t="s">
        <v>210</v>
      </c>
      <c r="C104" t="s">
        <v>120</v>
      </c>
      <c r="D104">
        <v>0.27341617742327001</v>
      </c>
      <c r="E104" s="21" t="s">
        <v>263</v>
      </c>
      <c r="F104" s="16" t="s">
        <v>121</v>
      </c>
      <c r="G104" s="10" t="s">
        <v>122</v>
      </c>
      <c r="H104" s="10" t="s">
        <v>123</v>
      </c>
    </row>
    <row r="105" spans="1:8" ht="18" customHeight="1">
      <c r="A105" s="29"/>
      <c r="B105" s="29"/>
      <c r="C105" t="s">
        <v>51</v>
      </c>
      <c r="D105">
        <v>5.2079271890146703</v>
      </c>
      <c r="E105" s="22" t="s">
        <v>246</v>
      </c>
      <c r="F105" t="s">
        <v>52</v>
      </c>
      <c r="G105" s="10" t="s">
        <v>53</v>
      </c>
    </row>
    <row r="106" spans="1:8" ht="18" customHeight="1">
      <c r="A106" s="29"/>
      <c r="B106" s="29"/>
      <c r="C106" t="s">
        <v>211</v>
      </c>
      <c r="D106">
        <v>0.27341617742327001</v>
      </c>
      <c r="E106" s="21" t="s">
        <v>273</v>
      </c>
      <c r="F106" s="16" t="s">
        <v>212</v>
      </c>
      <c r="G106" s="10" t="s">
        <v>213</v>
      </c>
      <c r="H106" s="10" t="s">
        <v>214</v>
      </c>
    </row>
    <row r="107" spans="1:8" ht="18" customHeight="1">
      <c r="A107" s="29"/>
      <c r="B107" s="29"/>
      <c r="C107" t="s">
        <v>10</v>
      </c>
      <c r="D107">
        <v>0.31247563134088002</v>
      </c>
      <c r="E107" s="22" t="s">
        <v>234</v>
      </c>
      <c r="F107" t="s">
        <v>11</v>
      </c>
      <c r="G107" s="10" t="s">
        <v>12</v>
      </c>
    </row>
    <row r="108" spans="1:8" ht="18" customHeight="1">
      <c r="A108" s="29"/>
      <c r="B108" s="29"/>
      <c r="C108" t="s">
        <v>13</v>
      </c>
      <c r="D108">
        <v>1.44519979495157</v>
      </c>
      <c r="E108" s="22" t="s">
        <v>235</v>
      </c>
      <c r="F108" t="s">
        <v>14</v>
      </c>
      <c r="G108" s="10" t="s">
        <v>15</v>
      </c>
    </row>
    <row r="109" spans="1:8" ht="17.399999999999999" customHeight="1">
      <c r="A109" s="29"/>
      <c r="B109" s="29"/>
      <c r="C109" t="s">
        <v>215</v>
      </c>
      <c r="D109">
        <v>4.9345110115914004</v>
      </c>
      <c r="E109" s="21" t="s">
        <v>256</v>
      </c>
      <c r="F109" t="s">
        <v>87</v>
      </c>
      <c r="G109" s="10" t="s">
        <v>88</v>
      </c>
    </row>
    <row r="110" spans="1:8" ht="17.399999999999999" customHeight="1">
      <c r="A110" s="29"/>
      <c r="B110" s="29" t="s">
        <v>209</v>
      </c>
      <c r="C110" t="s">
        <v>10</v>
      </c>
      <c r="D110">
        <v>1.26726228266024</v>
      </c>
      <c r="E110" s="22" t="s">
        <v>234</v>
      </c>
      <c r="F110" t="s">
        <v>11</v>
      </c>
      <c r="G110" s="10" t="s">
        <v>12</v>
      </c>
    </row>
    <row r="111" spans="1:8" ht="17.399999999999999" customHeight="1">
      <c r="A111" s="29"/>
      <c r="B111" s="29"/>
      <c r="C111" t="s">
        <v>13</v>
      </c>
      <c r="D111">
        <v>1.44519979495157</v>
      </c>
      <c r="E111" s="22" t="s">
        <v>235</v>
      </c>
      <c r="F111" t="s">
        <v>14</v>
      </c>
      <c r="G111" s="10" t="s">
        <v>15</v>
      </c>
    </row>
    <row r="112" spans="1:8" ht="17.399999999999999" customHeight="1">
      <c r="A112" s="29"/>
      <c r="B112" s="29" t="s">
        <v>216</v>
      </c>
      <c r="C112" t="s">
        <v>132</v>
      </c>
      <c r="D112">
        <v>0</v>
      </c>
      <c r="E112" s="21" t="s">
        <v>265</v>
      </c>
      <c r="F112" t="s">
        <v>133</v>
      </c>
      <c r="G112" s="10" t="s">
        <v>172</v>
      </c>
    </row>
    <row r="113" spans="1:8" ht="17.399999999999999" customHeight="1">
      <c r="A113" s="29"/>
      <c r="B113" s="29"/>
      <c r="C113" t="s">
        <v>217</v>
      </c>
      <c r="D113">
        <v>0.61627138403340298</v>
      </c>
      <c r="E113" s="21" t="s">
        <v>274</v>
      </c>
      <c r="F113" t="s">
        <v>218</v>
      </c>
      <c r="G113" s="10" t="s">
        <v>219</v>
      </c>
      <c r="H113" s="10" t="s">
        <v>220</v>
      </c>
    </row>
    <row r="114" spans="1:8" ht="17.399999999999999" customHeight="1">
      <c r="A114" s="29"/>
      <c r="B114" s="29"/>
      <c r="C114" t="s">
        <v>221</v>
      </c>
      <c r="D114">
        <v>0.12151830107700901</v>
      </c>
      <c r="E114" s="21" t="s">
        <v>256</v>
      </c>
      <c r="F114" s="16" t="s">
        <v>222</v>
      </c>
      <c r="G114" s="10" t="s">
        <v>223</v>
      </c>
      <c r="H114" s="10" t="s">
        <v>224</v>
      </c>
    </row>
    <row r="115" spans="1:8" ht="19.2" customHeight="1">
      <c r="A115" s="29"/>
      <c r="B115" s="29"/>
      <c r="C115" t="s">
        <v>158</v>
      </c>
      <c r="D115">
        <v>1.6014376106220101</v>
      </c>
      <c r="E115" s="22" t="s">
        <v>240</v>
      </c>
      <c r="F115" t="s">
        <v>31</v>
      </c>
      <c r="G115" s="10" t="s">
        <v>32</v>
      </c>
    </row>
    <row r="116" spans="1:8" ht="19.2" customHeight="1">
      <c r="A116" s="29"/>
      <c r="B116" s="29"/>
      <c r="C116" t="s">
        <v>225</v>
      </c>
      <c r="D116">
        <v>0.12151830107700901</v>
      </c>
      <c r="E116" s="21" t="s">
        <v>276</v>
      </c>
      <c r="F116" t="s">
        <v>226</v>
      </c>
      <c r="G116" s="10" t="s">
        <v>227</v>
      </c>
      <c r="H116" s="10" t="s">
        <v>228</v>
      </c>
    </row>
    <row r="117" spans="1:8" ht="19.2" customHeight="1">
      <c r="A117" s="29"/>
      <c r="B117" s="29"/>
      <c r="C117" t="s">
        <v>161</v>
      </c>
      <c r="D117">
        <v>8.6798786483577903E-2</v>
      </c>
      <c r="E117" s="21" t="s">
        <v>256</v>
      </c>
      <c r="F117" t="s">
        <v>87</v>
      </c>
      <c r="G117" s="10" t="s">
        <v>88</v>
      </c>
    </row>
    <row r="118" spans="1:8" ht="19.2" customHeight="1">
      <c r="A118" s="29"/>
      <c r="B118" s="29"/>
      <c r="C118" t="s">
        <v>215</v>
      </c>
      <c r="D118">
        <v>0.13019817972536701</v>
      </c>
      <c r="E118" s="21" t="s">
        <v>256</v>
      </c>
      <c r="F118" t="s">
        <v>87</v>
      </c>
      <c r="G118" s="10" t="s">
        <v>88</v>
      </c>
    </row>
    <row r="119" spans="1:8" ht="18" customHeight="1">
      <c r="A119" s="30" t="s">
        <v>135</v>
      </c>
      <c r="B119" s="17" t="s">
        <v>136</v>
      </c>
      <c r="C119" s="18" t="s">
        <v>137</v>
      </c>
      <c r="D119" s="19">
        <v>88.734399422161701</v>
      </c>
      <c r="E119" s="18"/>
      <c r="F119" s="18" t="s">
        <v>87</v>
      </c>
      <c r="G119" s="20" t="s">
        <v>88</v>
      </c>
    </row>
    <row r="120" spans="1:8" ht="18" customHeight="1">
      <c r="A120" s="30"/>
      <c r="B120" s="17" t="s">
        <v>138</v>
      </c>
      <c r="C120" s="18" t="s">
        <v>137</v>
      </c>
      <c r="D120" s="19">
        <v>21.539118865899901</v>
      </c>
      <c r="E120" s="18"/>
      <c r="F120" s="18" t="s">
        <v>87</v>
      </c>
      <c r="G120" s="20" t="s">
        <v>88</v>
      </c>
    </row>
    <row r="121" spans="1:8" ht="18" customHeight="1">
      <c r="A121" s="30"/>
      <c r="B121" s="30" t="s">
        <v>135</v>
      </c>
      <c r="C121" s="18" t="s">
        <v>139</v>
      </c>
      <c r="D121" s="19">
        <v>0.91138725807756804</v>
      </c>
      <c r="E121" s="18"/>
      <c r="F121" s="18" t="s">
        <v>69</v>
      </c>
      <c r="G121" s="20" t="s">
        <v>70</v>
      </c>
    </row>
    <row r="122" spans="1:8" ht="18" customHeight="1">
      <c r="A122" s="30"/>
      <c r="B122" s="30"/>
      <c r="C122" s="18" t="s">
        <v>140</v>
      </c>
      <c r="D122" s="19">
        <v>8.6798786483577896E-3</v>
      </c>
      <c r="E122" s="18"/>
      <c r="F122" s="18" t="s">
        <v>141</v>
      </c>
      <c r="G122" s="20" t="s">
        <v>142</v>
      </c>
    </row>
    <row r="123" spans="1:8" ht="18" customHeight="1">
      <c r="A123" s="30"/>
      <c r="B123" s="30"/>
      <c r="C123" s="18" t="s">
        <v>51</v>
      </c>
      <c r="D123" s="19">
        <v>28.535101056476201</v>
      </c>
      <c r="E123" s="22" t="s">
        <v>246</v>
      </c>
      <c r="F123" s="18" t="s">
        <v>52</v>
      </c>
      <c r="G123" s="20" t="s">
        <v>53</v>
      </c>
    </row>
    <row r="124" spans="1:8" ht="18" customHeight="1">
      <c r="A124" s="30"/>
      <c r="B124" s="30"/>
      <c r="C124" s="18" t="s">
        <v>143</v>
      </c>
      <c r="D124" s="19">
        <v>0</v>
      </c>
      <c r="E124" s="18"/>
      <c r="F124" s="18" t="s">
        <v>144</v>
      </c>
      <c r="G124" s="20" t="s">
        <v>145</v>
      </c>
    </row>
    <row r="125" spans="1:8" ht="18" customHeight="1">
      <c r="A125" s="30"/>
      <c r="B125" s="30"/>
      <c r="C125" s="18" t="s">
        <v>13</v>
      </c>
      <c r="D125" s="19">
        <v>1.30198179725367</v>
      </c>
      <c r="E125" s="18"/>
      <c r="F125" s="18" t="s">
        <v>14</v>
      </c>
      <c r="G125" s="20" t="s">
        <v>15</v>
      </c>
    </row>
    <row r="126" spans="1:8" ht="18" customHeight="1">
      <c r="A126" s="30"/>
      <c r="B126" s="30"/>
      <c r="C126" s="18" t="s">
        <v>146</v>
      </c>
      <c r="D126" s="19">
        <v>1.6144574285945501</v>
      </c>
      <c r="E126" s="18"/>
      <c r="F126" s="18" t="s">
        <v>147</v>
      </c>
      <c r="G126" s="20" t="s">
        <v>148</v>
      </c>
    </row>
    <row r="127" spans="1:8" ht="18" customHeight="1">
      <c r="A127" s="30"/>
      <c r="B127" s="30"/>
      <c r="C127" s="18" t="s">
        <v>137</v>
      </c>
      <c r="D127" s="19">
        <v>292.26887384750398</v>
      </c>
      <c r="E127" s="18"/>
      <c r="F127" s="18" t="s">
        <v>87</v>
      </c>
      <c r="G127" s="20" t="s">
        <v>88</v>
      </c>
    </row>
    <row r="128" spans="1:8" ht="18" customHeight="1">
      <c r="A128" s="30"/>
      <c r="B128" s="30"/>
      <c r="C128" s="18" t="s">
        <v>149</v>
      </c>
      <c r="D128" s="19">
        <v>9.1138725807756796E-2</v>
      </c>
      <c r="E128" s="18"/>
      <c r="F128" s="18" t="s">
        <v>87</v>
      </c>
      <c r="G128" s="20" t="s">
        <v>88</v>
      </c>
    </row>
    <row r="129" spans="1:7" ht="18" customHeight="1">
      <c r="A129" s="30"/>
      <c r="B129" s="30"/>
      <c r="C129" s="18" t="s">
        <v>150</v>
      </c>
      <c r="D129" s="19">
        <v>5.4553037304928704</v>
      </c>
      <c r="E129" s="18"/>
      <c r="F129" s="18" t="s">
        <v>87</v>
      </c>
      <c r="G129" s="20" t="s">
        <v>88</v>
      </c>
    </row>
    <row r="130" spans="1:7" ht="18" customHeight="1">
      <c r="A130" s="30"/>
      <c r="B130" s="30"/>
      <c r="C130" s="18" t="s">
        <v>112</v>
      </c>
      <c r="D130" s="19">
        <v>4.3399393241789E-3</v>
      </c>
      <c r="E130" s="18"/>
      <c r="F130" s="18" t="s">
        <v>113</v>
      </c>
      <c r="G130" s="20" t="s">
        <v>114</v>
      </c>
    </row>
    <row r="131" spans="1:7" ht="18" customHeight="1">
      <c r="A131" s="30"/>
      <c r="B131" s="30"/>
      <c r="C131" s="18" t="s">
        <v>151</v>
      </c>
      <c r="D131" s="19">
        <v>1.30198179725367E-2</v>
      </c>
      <c r="E131" s="18"/>
      <c r="F131" s="18" t="s">
        <v>152</v>
      </c>
      <c r="G131" s="20" t="s">
        <v>153</v>
      </c>
    </row>
    <row r="132" spans="1:7" ht="18" customHeight="1">
      <c r="A132" s="30"/>
      <c r="B132" s="30"/>
      <c r="C132" s="18" t="s">
        <v>115</v>
      </c>
      <c r="D132" s="19">
        <v>0.104158543780294</v>
      </c>
      <c r="E132" s="18"/>
      <c r="F132" s="18" t="s">
        <v>116</v>
      </c>
      <c r="G132" s="20" t="s">
        <v>117</v>
      </c>
    </row>
    <row r="133" spans="1:7" ht="18" customHeight="1">
      <c r="A133" s="30"/>
      <c r="B133" s="30"/>
      <c r="C133" s="18" t="s">
        <v>154</v>
      </c>
      <c r="D133" s="19">
        <v>9.5478665131935703E-2</v>
      </c>
      <c r="E133" s="18"/>
      <c r="F133" s="18" t="s">
        <v>155</v>
      </c>
      <c r="G133" s="20" t="s">
        <v>156</v>
      </c>
    </row>
    <row r="134" spans="1:7" ht="18" customHeight="1">
      <c r="A134" s="30"/>
      <c r="B134" s="30"/>
      <c r="C134" s="18" t="s">
        <v>101</v>
      </c>
      <c r="D134" s="19">
        <v>7.3778968511041196E-2</v>
      </c>
      <c r="E134" s="18"/>
      <c r="F134" s="18" t="s">
        <v>102</v>
      </c>
      <c r="G134" s="20" t="s">
        <v>103</v>
      </c>
    </row>
    <row r="135" spans="1:7" ht="18" customHeight="1">
      <c r="A135" s="30"/>
      <c r="B135" s="30" t="s">
        <v>157</v>
      </c>
      <c r="C135" s="18" t="s">
        <v>158</v>
      </c>
      <c r="D135" s="19">
        <v>2.8730398326064299</v>
      </c>
      <c r="E135" s="22" t="s">
        <v>240</v>
      </c>
      <c r="F135" s="18" t="s">
        <v>31</v>
      </c>
      <c r="G135" s="20" t="s">
        <v>32</v>
      </c>
    </row>
    <row r="136" spans="1:7" ht="18" customHeight="1">
      <c r="A136" s="30"/>
      <c r="B136" s="30"/>
      <c r="C136" s="18" t="s">
        <v>159</v>
      </c>
      <c r="D136" s="19">
        <v>2.8730398326064299</v>
      </c>
      <c r="E136" s="18"/>
      <c r="F136" s="18" t="s">
        <v>79</v>
      </c>
      <c r="G136" s="20" t="s">
        <v>80</v>
      </c>
    </row>
    <row r="137" spans="1:7" ht="18" customHeight="1">
      <c r="A137" s="30"/>
      <c r="B137" s="30"/>
      <c r="C137" s="18" t="s">
        <v>86</v>
      </c>
      <c r="D137" s="19">
        <v>22.572024425054401</v>
      </c>
      <c r="E137" s="18"/>
      <c r="F137" s="18" t="s">
        <v>87</v>
      </c>
      <c r="G137" s="20" t="s">
        <v>88</v>
      </c>
    </row>
  </sheetData>
  <mergeCells count="21">
    <mergeCell ref="A119:A137"/>
    <mergeCell ref="B121:B134"/>
    <mergeCell ref="B135:B137"/>
    <mergeCell ref="A2:A49"/>
    <mergeCell ref="B2:B3"/>
    <mergeCell ref="B4:B45"/>
    <mergeCell ref="B47:B49"/>
    <mergeCell ref="A50:A60"/>
    <mergeCell ref="B50:B52"/>
    <mergeCell ref="B53:B60"/>
    <mergeCell ref="A104:A118"/>
    <mergeCell ref="B104:B109"/>
    <mergeCell ref="B110:B111"/>
    <mergeCell ref="B112:B118"/>
    <mergeCell ref="A61:A103"/>
    <mergeCell ref="B61:B62"/>
    <mergeCell ref="B63:B64"/>
    <mergeCell ref="B65:B67"/>
    <mergeCell ref="B68:B81"/>
    <mergeCell ref="B82:B99"/>
    <mergeCell ref="B100:B103"/>
  </mergeCells>
  <conditionalFormatting sqref="L2:L45">
    <cfRule type="colorScale" priority="1">
      <colorScale>
        <cfvo type="min"/>
        <cfvo type="percentile" val="50"/>
        <cfvo type="max"/>
        <color rgb="FF63BE7B"/>
        <color rgb="FFFFEB84"/>
        <color rgb="FFF8696B"/>
      </colorScale>
    </cfRule>
  </conditionalFormatting>
  <hyperlinks>
    <hyperlink ref="G2" r:id="rId1" xr:uid="{B5E15B09-F3E0-4375-B7D7-B2814897E4C8}"/>
    <hyperlink ref="G3" r:id="rId2" xr:uid="{91B10D37-9FA3-4AB5-A36C-2075300FBF56}"/>
    <hyperlink ref="G4" r:id="rId3" xr:uid="{60BA65D5-6FFC-430C-BAA9-4BDAD2E60D35}"/>
    <hyperlink ref="G5" r:id="rId4" xr:uid="{F24DBEF7-4445-4F99-8C8A-858ACA31222C}"/>
    <hyperlink ref="G6" r:id="rId5" xr:uid="{F92821BB-37E5-4FAF-8835-296C7CC96F0B}"/>
    <hyperlink ref="G7" r:id="rId6" xr:uid="{E68C541C-9765-46FF-AB48-D605E446210C}"/>
    <hyperlink ref="G8" r:id="rId7" xr:uid="{C861C11A-1ECE-498F-9BD7-DD737766986D}"/>
    <hyperlink ref="G9" r:id="rId8" xr:uid="{50C9FFB9-2FC2-4DDB-84F0-C8D8E242BD1D}"/>
    <hyperlink ref="G10" r:id="rId9" xr:uid="{AB7732F0-3EE6-49DC-B520-94C297A35619}"/>
    <hyperlink ref="G11" r:id="rId10" xr:uid="{7F042F77-AFB8-4B91-B1E0-EBCE881F877D}"/>
    <hyperlink ref="G12" r:id="rId11" xr:uid="{4D68D4FA-3200-4BB1-BEFB-B21D83B59938}"/>
    <hyperlink ref="G13" r:id="rId12" xr:uid="{841ED217-C1B1-4E55-9C42-499E96E0A791}"/>
    <hyperlink ref="G14" r:id="rId13" xr:uid="{2611998C-A03A-4BDB-A4F8-5F0D2FB3BF52}"/>
    <hyperlink ref="G15" r:id="rId14" xr:uid="{79854DD8-E33E-4C25-BCC4-8752244DB368}"/>
    <hyperlink ref="G16" r:id="rId15" xr:uid="{6727B6B6-6A5B-41D4-9EBD-F42A7F039DB9}"/>
    <hyperlink ref="G17" r:id="rId16" xr:uid="{26E44A70-D8D7-4135-95DA-47B903FC0717}"/>
    <hyperlink ref="G18" r:id="rId17" xr:uid="{406D4D6A-6C69-43BD-B1C7-B715B9094264}"/>
    <hyperlink ref="G19" r:id="rId18" xr:uid="{6C32C913-44D8-4D1E-9B08-5ABB5CD125DD}"/>
    <hyperlink ref="G20" r:id="rId19" xr:uid="{B4C27188-A6B5-4B3A-9C69-639E5911987C}"/>
    <hyperlink ref="G21" r:id="rId20" xr:uid="{F1E74814-BBD3-4C40-BC97-9D5532736363}"/>
    <hyperlink ref="G22" r:id="rId21" xr:uid="{502FD13D-7D04-464B-A888-4838B5D5980D}"/>
    <hyperlink ref="G23" r:id="rId22" xr:uid="{15895E4A-6E4E-464A-8D04-691C88CE3834}"/>
    <hyperlink ref="G26" r:id="rId23" xr:uid="{E524DD40-E606-4E23-A6E5-5BD5566A15D6}"/>
    <hyperlink ref="G27" r:id="rId24" xr:uid="{7B628706-AB7C-45D7-ADC7-4905C24491F0}"/>
    <hyperlink ref="G28" r:id="rId25" xr:uid="{6CE95C0C-A524-4A1F-A96A-BA44B0FCE93F}"/>
    <hyperlink ref="G29" r:id="rId26" xr:uid="{C3D4A850-AB2F-4390-979D-9E60B29D247F}"/>
    <hyperlink ref="G30" r:id="rId27" xr:uid="{2F5444BE-728E-4BD0-9873-89087DAF710A}"/>
    <hyperlink ref="G32" r:id="rId28" xr:uid="{9F0ECCBB-7CA8-42E1-B7C3-09AC48255570}"/>
    <hyperlink ref="G33" r:id="rId29" xr:uid="{795D673D-939A-4088-901A-96F362C8F933}"/>
    <hyperlink ref="G34" r:id="rId30" xr:uid="{E508BCF8-BA60-4B81-BE43-13918F2966A1}"/>
    <hyperlink ref="G35" r:id="rId31" xr:uid="{322C06D2-28BC-4191-8085-99BBAF515B85}"/>
    <hyperlink ref="G36" r:id="rId32" xr:uid="{187B234A-5B22-45DE-A94D-8E32D060BA59}"/>
    <hyperlink ref="G37" r:id="rId33" xr:uid="{8B299312-D082-4A3C-9C5B-B4FA9AE265AF}"/>
    <hyperlink ref="G38" r:id="rId34" xr:uid="{1B3C7D9C-A0D9-4D0E-A6EB-F7B9FF665B59}"/>
    <hyperlink ref="G39" r:id="rId35" xr:uid="{E20FE6C9-73DE-4D30-B354-8A9D16A08D76}"/>
    <hyperlink ref="G40" r:id="rId36" xr:uid="{3104680C-0149-4093-85A8-7B297133BEBA}"/>
    <hyperlink ref="G41" r:id="rId37" xr:uid="{08A1951E-8908-47F4-ABCE-6E4838D8B868}"/>
    <hyperlink ref="G42" r:id="rId38" xr:uid="{18749054-BD8A-4269-9C79-7DE97A885E06}"/>
    <hyperlink ref="G43" r:id="rId39" xr:uid="{AB622628-4E88-4D04-B40D-D3CFD3C36352}"/>
    <hyperlink ref="G44" r:id="rId40" xr:uid="{70DA39EA-C7A6-44ED-8BAE-8648CD857C02}"/>
    <hyperlink ref="G46" r:id="rId41" xr:uid="{2DFE1A15-78DB-4461-90CC-D31D261AECF2}"/>
    <hyperlink ref="G47" r:id="rId42" xr:uid="{9C6D489F-F5F7-479F-A5C9-81586C714931}"/>
    <hyperlink ref="G48" r:id="rId43" xr:uid="{B0D651BD-C99C-475A-BD66-C70AF1447F7A}"/>
    <hyperlink ref="G49" r:id="rId44" xr:uid="{28DB565E-ABC8-4D75-80CF-E8C0FC5CF29E}"/>
    <hyperlink ref="G50" r:id="rId45" xr:uid="{28BD2F88-B1EC-4F85-A4BA-198ABA4D4DD2}"/>
    <hyperlink ref="G51" r:id="rId46" xr:uid="{466D7B25-CC2E-4A16-AA76-AB6966022223}"/>
    <hyperlink ref="G52" r:id="rId47" xr:uid="{5FEC082B-699B-4846-A748-851F5104EB2A}"/>
    <hyperlink ref="G53" r:id="rId48" xr:uid="{F6215E58-6C61-47E6-AD9B-509D175EE303}"/>
    <hyperlink ref="G54" r:id="rId49" xr:uid="{7E217EAE-989D-4485-B758-CAA7E14B38EA}"/>
    <hyperlink ref="G55" r:id="rId50" xr:uid="{83EDECB4-5F8D-4F90-B396-50A2EE5743DB}"/>
    <hyperlink ref="H55" r:id="rId51" xr:uid="{3C8BF261-2FC7-46EE-96DC-D62558FA7805}"/>
    <hyperlink ref="G57" r:id="rId52" xr:uid="{2EEBD1F4-CD61-4475-976A-C13428DAD277}"/>
    <hyperlink ref="G58" r:id="rId53" xr:uid="{821BF95B-C067-41C9-A286-63CE68EF478D}"/>
    <hyperlink ref="G59" r:id="rId54" xr:uid="{9E6B3128-87AC-4358-82CE-4EB118BF9EE3}"/>
    <hyperlink ref="G60" r:id="rId55" xr:uid="{4EBFE9B4-9BF9-4587-B1CA-101C8ECBEA8A}"/>
    <hyperlink ref="G61" r:id="rId56" xr:uid="{27A28417-9EAC-4A8A-91CF-A2583BD1378A}"/>
    <hyperlink ref="G63" r:id="rId57" xr:uid="{81B6C259-199D-4A98-B3F4-A59793BC4C54}"/>
    <hyperlink ref="G65" r:id="rId58" xr:uid="{A924ABF8-8767-4E61-8D1A-3E7A31A6F417}"/>
    <hyperlink ref="G66" r:id="rId59" xr:uid="{BE84B92A-0340-4D97-82B1-EEFAA69754A1}"/>
    <hyperlink ref="G67" r:id="rId60" xr:uid="{47C5A6F9-750F-4C1B-B909-E29126821FF3}"/>
    <hyperlink ref="G68" r:id="rId61" xr:uid="{990C0173-2774-4272-B28D-99E26EA90B1D}"/>
    <hyperlink ref="H68" r:id="rId62" xr:uid="{7C3658BE-ED47-4C2D-91C8-159C8FB87381}"/>
    <hyperlink ref="G69" r:id="rId63" xr:uid="{540A211E-8C3A-462C-BFB9-D172D717D854}"/>
    <hyperlink ref="G70" r:id="rId64" xr:uid="{F329A666-F720-42AD-A975-2EC63F4FA47D}"/>
    <hyperlink ref="G71" r:id="rId65" xr:uid="{778F7177-BAF5-4FAD-A0AF-31A5A198EDA5}"/>
    <hyperlink ref="G72" r:id="rId66" xr:uid="{ED750EBC-FF65-4127-89DF-57C331E27DEB}"/>
    <hyperlink ref="G73" r:id="rId67" xr:uid="{EF060277-4517-4CDD-A57F-655207598EE4}"/>
    <hyperlink ref="G74" r:id="rId68" xr:uid="{535DC9CE-BD41-45F4-9882-52A545C7F042}"/>
    <hyperlink ref="G75" r:id="rId69" xr:uid="{BFD1186B-F007-4601-BCCC-238E81B99532}"/>
    <hyperlink ref="G76" r:id="rId70" xr:uid="{2F3D5788-9465-4619-B953-FAE556699602}"/>
    <hyperlink ref="G77" r:id="rId71" xr:uid="{6255A180-312A-4A97-AC80-09F5DCD4159C}"/>
    <hyperlink ref="G78" r:id="rId72" xr:uid="{F8C74BD8-B836-450A-A74B-C1C56CEA1456}"/>
    <hyperlink ref="G80" r:id="rId73" xr:uid="{14E37622-A30B-4524-B622-C06E34A633B8}"/>
    <hyperlink ref="G81" r:id="rId74" xr:uid="{99DF9226-AF82-41D6-8817-3F55CC7171CD}"/>
    <hyperlink ref="G82" r:id="rId75" xr:uid="{F1ADE105-EDC6-45BC-980B-2EC3E1E089CF}"/>
    <hyperlink ref="G83" r:id="rId76" xr:uid="{35DEBE65-633E-4386-87B6-CFA4DEB92386}"/>
    <hyperlink ref="H83" r:id="rId77" xr:uid="{7A34ADB6-1262-492F-9990-676D75ED9718}"/>
    <hyperlink ref="G84" r:id="rId78" xr:uid="{A5AE3ED8-4F10-44B3-BFBE-C80E929CE4A5}"/>
    <hyperlink ref="G85" r:id="rId79" xr:uid="{CEC15691-3117-4B83-960B-9178B3400E09}"/>
    <hyperlink ref="G86" r:id="rId80" xr:uid="{287EE814-5C2A-40CC-B134-8BC663141CDF}"/>
    <hyperlink ref="G89" r:id="rId81" xr:uid="{2C7F9A49-F947-44D5-81D3-1EA9815C8A6C}"/>
    <hyperlink ref="G90" r:id="rId82" xr:uid="{0CFD7D07-F9BB-4C68-8355-CC8DA7691CDC}"/>
    <hyperlink ref="G91" r:id="rId83" xr:uid="{E87B249B-ADC7-474D-92BD-E9F40412C0C5}"/>
    <hyperlink ref="G92" r:id="rId84" xr:uid="{82BFAAC4-FAB3-4ECB-8F54-9DCB75B0B0AA}"/>
    <hyperlink ref="G93" r:id="rId85" xr:uid="{02F9AB54-CCFF-41D4-A059-FEAAB1D3B0F9}"/>
    <hyperlink ref="G94" r:id="rId86" xr:uid="{1A729692-F595-43A5-81F5-F498B5189B9E}"/>
    <hyperlink ref="G95" r:id="rId87" xr:uid="{CADCFD48-9B77-450C-B770-B5BECF9BD4F5}"/>
    <hyperlink ref="G96" r:id="rId88" xr:uid="{3AF483F6-046D-4774-A00E-CC83EBABCBF9}"/>
    <hyperlink ref="G97" r:id="rId89" xr:uid="{1E7DFC14-E050-429A-82AC-362DFB160CC3}"/>
    <hyperlink ref="G98" r:id="rId90" xr:uid="{A3F2453A-5469-4B09-990F-9C32F273EC09}"/>
    <hyperlink ref="G99" r:id="rId91" xr:uid="{C7083408-5BCD-4479-A9D5-D6183F070680}"/>
    <hyperlink ref="G100" r:id="rId92" xr:uid="{17078C9F-B276-41DE-BFAC-0851AE81A4F5}"/>
    <hyperlink ref="G101" r:id="rId93" xr:uid="{8119450A-B70E-4822-B90B-9F8D8CD1EDA8}"/>
    <hyperlink ref="G103" r:id="rId94" xr:uid="{699AE145-BAF8-47D8-9477-F0E25C2B9BCA}"/>
    <hyperlink ref="G104" r:id="rId95" xr:uid="{FCC44E60-7D9E-4F9E-8CED-417357BFB585}"/>
    <hyperlink ref="G105" r:id="rId96" xr:uid="{060D5AEE-C3FD-4482-A340-C99276EED4ED}"/>
    <hyperlink ref="G106" r:id="rId97" xr:uid="{1CF2D964-0DF5-4872-876B-FF9C476EBC30}"/>
    <hyperlink ref="H106" r:id="rId98" xr:uid="{33A966A4-9160-45DD-8EB1-5721ED764E36}"/>
    <hyperlink ref="G107" r:id="rId99" xr:uid="{FB387865-5576-4AC4-857F-D1111F7788F6}"/>
    <hyperlink ref="G108" r:id="rId100" xr:uid="{A54EDD66-5BA2-424A-96D1-17ED959D0AEA}"/>
    <hyperlink ref="G110" r:id="rId101" xr:uid="{19973ADB-1AEE-4493-9F0A-35EB8B9045BD}"/>
    <hyperlink ref="G111" r:id="rId102" xr:uid="{D2854755-10E7-4F31-9D4F-3C11B9C79329}"/>
    <hyperlink ref="G112" r:id="rId103" xr:uid="{A7F87D9D-1D84-4725-AC78-1B1ADEC1679B}"/>
    <hyperlink ref="H113" r:id="rId104" xr:uid="{5709A60B-D02B-4F50-A00A-FF913836C5ED}"/>
    <hyperlink ref="G114" r:id="rId105" xr:uid="{86DBD83F-9FD7-4E35-BE92-49316F098BBD}"/>
    <hyperlink ref="G115" r:id="rId106" xr:uid="{32E9D6F2-0DC4-417E-9A3C-7E3268CE4E7B}"/>
    <hyperlink ref="G116" r:id="rId107" xr:uid="{51227263-F440-4CA3-9D51-298465746C39}"/>
    <hyperlink ref="H116" r:id="rId108" xr:uid="{B9D7A099-8324-4A79-AE2F-484EF417EA2F}"/>
    <hyperlink ref="G117" r:id="rId109" xr:uid="{5EFBC982-DF93-4023-A90C-EA09C75296B3}"/>
    <hyperlink ref="G24" r:id="rId110" xr:uid="{FE14C55D-42F1-48D7-B17F-EC08232DC281}"/>
    <hyperlink ref="G25" r:id="rId111" xr:uid="{60B38FF9-7BE4-4E33-9017-D016FE3E2FEA}"/>
    <hyperlink ref="G121" r:id="rId112" xr:uid="{FB5CBCEF-E458-41BC-BAAE-B31E4CAF67C5}"/>
    <hyperlink ref="G122" r:id="rId113" xr:uid="{0EF0C02E-6447-4E59-8522-932E6EB1E247}"/>
    <hyperlink ref="G123" r:id="rId114" xr:uid="{655ED95D-D66C-4B9E-B0C4-049AD17C283E}"/>
    <hyperlink ref="G124" r:id="rId115" xr:uid="{72320908-AE5B-462A-BB0E-52CBCE7B5CFE}"/>
    <hyperlink ref="G125" r:id="rId116" xr:uid="{340BA89B-CBE1-4E5B-9156-373FDB71BD9E}"/>
    <hyperlink ref="G126" r:id="rId117" xr:uid="{56C32356-17E1-4A43-BE60-1FCFC25C4009}"/>
    <hyperlink ref="G127" r:id="rId118" xr:uid="{D6125467-0675-48A4-A04D-A4AD20CFB5DF}"/>
    <hyperlink ref="G128" r:id="rId119" xr:uid="{76881F08-2127-451C-BCAD-A6958D8005B5}"/>
    <hyperlink ref="G129" r:id="rId120" xr:uid="{B301E56E-C469-49C2-936F-3615A0135B57}"/>
    <hyperlink ref="G130" r:id="rId121" xr:uid="{063B979B-39DB-4E97-8D56-D16A657FDCFE}"/>
    <hyperlink ref="G131" r:id="rId122" xr:uid="{926233D7-9057-47B3-BB62-A4B141B25A66}"/>
    <hyperlink ref="G132" r:id="rId123" xr:uid="{790B9F1A-6B70-4A0F-8142-51B4A5FA6DBE}"/>
    <hyperlink ref="G133" r:id="rId124" xr:uid="{CC5FF302-DBC6-4844-95BB-8DB88B6FEC27}"/>
    <hyperlink ref="G134" r:id="rId125" xr:uid="{1BFADD4E-2B9E-4D61-AAD1-A6446384D834}"/>
    <hyperlink ref="G135" r:id="rId126" xr:uid="{8F1B118D-C3B8-4539-AF8B-71AF6BBD1318}"/>
    <hyperlink ref="G136" r:id="rId127" xr:uid="{4D81E95E-6529-4DE9-B0D6-95E58FDB9D17}"/>
    <hyperlink ref="G137" r:id="rId128" xr:uid="{7ED06621-E256-40F4-903E-6187B3BAE3AA}"/>
    <hyperlink ref="G62" r:id="rId129" xr:uid="{DDA11002-B5E8-42B4-9B2E-FA49C837F112}"/>
    <hyperlink ref="G64" r:id="rId130" xr:uid="{ADB0C6B6-BB92-494C-83B7-1381F3A7B6A2}"/>
    <hyperlink ref="G45" r:id="rId131" xr:uid="{90A6FC59-4F38-4C75-AA79-7F0A34987241}"/>
    <hyperlink ref="G79" r:id="rId132" xr:uid="{E92D412C-9087-48BA-93E3-BD6A503BE5AF}"/>
    <hyperlink ref="G109" r:id="rId133" xr:uid="{5397379D-F913-4009-B843-445EBBB03095}"/>
    <hyperlink ref="G118" r:id="rId134" xr:uid="{05244A7C-4863-4723-9758-4DFBE2A63F3A}"/>
    <hyperlink ref="G119" r:id="rId135" xr:uid="{71A41CD5-5D15-426B-AB94-F4ED0CFB662F}"/>
    <hyperlink ref="G120" r:id="rId136" xr:uid="{FFDF685C-49D4-4C59-80D4-222D394A50EE}"/>
  </hyperlinks>
  <pageMargins left="0" right="0" top="0.39370000000000005" bottom="0.39370000000000005" header="0" footer="0"/>
  <pageSetup paperSize="9" orientation="portrait" r:id="rId137"/>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otalTime>656</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README</vt:lpstr>
      <vt:lpstr>materials_intel_xeon_model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Resilio</dc:creator>
  <cp:lastModifiedBy>Arthur Pierre Santiago Removille</cp:lastModifiedBy>
  <cp:revision>52</cp:revision>
  <dcterms:created xsi:type="dcterms:W3CDTF">2025-10-10T09:54:27Z</dcterms:created>
  <dcterms:modified xsi:type="dcterms:W3CDTF">2026-02-05T09:40:36Z</dcterms:modified>
</cp:coreProperties>
</file>